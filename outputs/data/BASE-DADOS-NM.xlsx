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(1) DOUTORADO FINAL" sheetId="1" state="visible" r:id="rId3"/>
  </sheets>
  <definedNames>
    <definedName function="false" hidden="true" localSheetId="0" name="_xlnm._FilterDatabase" vbProcedure="false">'(1) DOUTORADO FINAL'!$A$1:$AN$325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<sst xmlns="http://schemas.openxmlformats.org/spreadsheetml/2006/main" count="4872" uniqueCount="487">
  <si>
    <t xml:space="preserve">DATA</t>
  </si>
  <si>
    <t xml:space="preserve">HORÁRIO</t>
  </si>
  <si>
    <t xml:space="preserve">PERÍODO DO MÊS</t>
  </si>
  <si>
    <t xml:space="preserve">SEMANA</t>
  </si>
  <si>
    <t xml:space="preserve">LOCAL</t>
  </si>
  <si>
    <t xml:space="preserve">MANDANTE</t>
  </si>
  <si>
    <t xml:space="preserve">JOGO</t>
  </si>
  <si>
    <t xml:space="preserve">ALCOOL</t>
  </si>
  <si>
    <t xml:space="preserve">JECRIM</t>
  </si>
  <si>
    <t xml:space="preserve">TORCIDAÚNICA</t>
  </si>
  <si>
    <t xml:space="preserve">COMPETIÇÃO</t>
  </si>
  <si>
    <t xml:space="preserve">CLASSIFICAÇÃO</t>
  </si>
  <si>
    <t xml:space="preserve">TORCIDA</t>
  </si>
  <si>
    <t xml:space="preserve">CLASSE PÚBLICO</t>
  </si>
  <si>
    <t xml:space="preserve">PROTOCOLO DE POLICIAIS</t>
  </si>
  <si>
    <t xml:space="preserve">RISCO</t>
  </si>
  <si>
    <t xml:space="preserve">Público_novo</t>
  </si>
  <si>
    <t xml:space="preserve">EFETIVO TOTAL</t>
  </si>
  <si>
    <t xml:space="preserve">ATO OBSCENO</t>
  </si>
  <si>
    <t xml:space="preserve">CAMBISMO</t>
  </si>
  <si>
    <t xml:space="preserve">DANOS AO PATRIMONIO</t>
  </si>
  <si>
    <t xml:space="preserve">DESACATO</t>
  </si>
  <si>
    <t xml:space="preserve">AMEACA</t>
  </si>
  <si>
    <t xml:space="preserve">FURTO</t>
  </si>
  <si>
    <t xml:space="preserve">PORTE DE DROGAS</t>
  </si>
  <si>
    <t xml:space="preserve">VANDALISMO</t>
  </si>
  <si>
    <t xml:space="preserve">CEDULA FALSA</t>
  </si>
  <si>
    <t xml:space="preserve">DESOBEDIENCIA</t>
  </si>
  <si>
    <t xml:space="preserve">ESTELIONATO</t>
  </si>
  <si>
    <t xml:space="preserve">FLANELINHA</t>
  </si>
  <si>
    <t xml:space="preserve">INCENDIO</t>
  </si>
  <si>
    <t xml:space="preserve">PERTUBACAO DA ORDEM</t>
  </si>
  <si>
    <t xml:space="preserve">APREENSAO DE EXPLOSIVOS</t>
  </si>
  <si>
    <t xml:space="preserve">ROUBO</t>
  </si>
  <si>
    <t xml:space="preserve">LESAO CORPORAL</t>
  </si>
  <si>
    <t xml:space="preserve">INCITACAO A VIOLENCIA</t>
  </si>
  <si>
    <t xml:space="preserve">VIAS DE FATO</t>
  </si>
  <si>
    <t xml:space="preserve">INVASAO DE GRAMADO</t>
  </si>
  <si>
    <t xml:space="preserve">AGRESSAO</t>
  </si>
  <si>
    <t xml:space="preserve">2012-05-06</t>
  </si>
  <si>
    <t xml:space="preserve">inicio ate 18:30</t>
  </si>
  <si>
    <t xml:space="preserve">1 a 15</t>
  </si>
  <si>
    <t xml:space="preserve">final de semana</t>
  </si>
  <si>
    <t xml:space="preserve">BARRADÃO</t>
  </si>
  <si>
    <t xml:space="preserve">VITORIA</t>
  </si>
  <si>
    <t xml:space="preserve">VITORIA X BAHIA</t>
  </si>
  <si>
    <t xml:space="preserve">NÃO</t>
  </si>
  <si>
    <t xml:space="preserve"> </t>
  </si>
  <si>
    <t xml:space="preserve">Estadual ou Regional</t>
  </si>
  <si>
    <t xml:space="preserve">Eliminatório</t>
  </si>
  <si>
    <t xml:space="preserve">Inimiga</t>
  </si>
  <si>
    <t xml:space="preserve">acima de 20000 torcedores</t>
  </si>
  <si>
    <t xml:space="preserve">ALTO</t>
  </si>
  <si>
    <t xml:space="preserve">2012-05-10</t>
  </si>
  <si>
    <t xml:space="preserve">inicio após 18:30</t>
  </si>
  <si>
    <t xml:space="preserve">dia de semana</t>
  </si>
  <si>
    <t xml:space="preserve">PITUAÇU</t>
  </si>
  <si>
    <t xml:space="preserve">BAHIA</t>
  </si>
  <si>
    <t xml:space="preserve">BAHIA X PORTUGUESA</t>
  </si>
  <si>
    <t xml:space="preserve">Nacional ou Internacional</t>
  </si>
  <si>
    <t xml:space="preserve">Aliada</t>
  </si>
  <si>
    <t xml:space="preserve">entre 10001 e 20000 torcedores</t>
  </si>
  <si>
    <t xml:space="preserve">BAIXO</t>
  </si>
  <si>
    <t xml:space="preserve">2012-05-13</t>
  </si>
  <si>
    <t xml:space="preserve">BAHIA X VITORIA</t>
  </si>
  <si>
    <t xml:space="preserve">2012-05-17</t>
  </si>
  <si>
    <t xml:space="preserve">16 a 31</t>
  </si>
  <si>
    <t xml:space="preserve">BAHIA X GREMIO</t>
  </si>
  <si>
    <t xml:space="preserve">MEDIO</t>
  </si>
  <si>
    <t xml:space="preserve">2012-05-20</t>
  </si>
  <si>
    <t xml:space="preserve">BAHIA X SANTOS</t>
  </si>
  <si>
    <t xml:space="preserve">entre 5001 e 10000 torcedores</t>
  </si>
  <si>
    <t xml:space="preserve">2012-06-10</t>
  </si>
  <si>
    <t xml:space="preserve">BAHIA X VASCO</t>
  </si>
  <si>
    <t xml:space="preserve">Zona Neutra</t>
  </si>
  <si>
    <t xml:space="preserve">2012-06-17</t>
  </si>
  <si>
    <t xml:space="preserve">BAHIA X SPORT</t>
  </si>
  <si>
    <t xml:space="preserve">Zona de Rebaixamento</t>
  </si>
  <si>
    <t xml:space="preserve">2012-07-01</t>
  </si>
  <si>
    <t xml:space="preserve">BAHIA X INTERNACIONAL</t>
  </si>
  <si>
    <t xml:space="preserve">2012-07-15</t>
  </si>
  <si>
    <t xml:space="preserve">BAHIA X FLAMENGO</t>
  </si>
  <si>
    <t xml:space="preserve">2012-07-22</t>
  </si>
  <si>
    <t xml:space="preserve">BAHIA X CORITIBA</t>
  </si>
  <si>
    <t xml:space="preserve">2012-07-29</t>
  </si>
  <si>
    <t xml:space="preserve">BAHIA X CORINTHIANS</t>
  </si>
  <si>
    <t xml:space="preserve">2012-08-01</t>
  </si>
  <si>
    <t xml:space="preserve">BAHIA X SAO PAULO</t>
  </si>
  <si>
    <t xml:space="preserve">2012-08-08</t>
  </si>
  <si>
    <t xml:space="preserve">2012-08-11</t>
  </si>
  <si>
    <t xml:space="preserve">BAHIA X CRUZEIRO</t>
  </si>
  <si>
    <t xml:space="preserve">2012-08-26</t>
  </si>
  <si>
    <t xml:space="preserve">BAHIA X ATLETICO-GO</t>
  </si>
  <si>
    <t xml:space="preserve">2012-09-02</t>
  </si>
  <si>
    <t xml:space="preserve">2012-09-05</t>
  </si>
  <si>
    <t xml:space="preserve">BAHIA X ATLETICO MG</t>
  </si>
  <si>
    <t xml:space="preserve">2012-09-16</t>
  </si>
  <si>
    <t xml:space="preserve">BAHIA X FIGUEIRENSE</t>
  </si>
  <si>
    <t xml:space="preserve">2012-09-30</t>
  </si>
  <si>
    <t xml:space="preserve">BAHIA X BOTAFOGO</t>
  </si>
  <si>
    <t xml:space="preserve">2012-10-10</t>
  </si>
  <si>
    <t xml:space="preserve">BAHIA X FLUMINENSE </t>
  </si>
  <si>
    <t xml:space="preserve">2012-10-17</t>
  </si>
  <si>
    <t xml:space="preserve">BAHIA X PALMEIRAS</t>
  </si>
  <si>
    <t xml:space="preserve">2012-10-27</t>
  </si>
  <si>
    <t xml:space="preserve">2012-11-18</t>
  </si>
  <si>
    <t xml:space="preserve">BAHIA X PONTE PRETA</t>
  </si>
  <si>
    <t xml:space="preserve">2012-11-25</t>
  </si>
  <si>
    <t xml:space="preserve">BAHIA X NAUTICO</t>
  </si>
  <si>
    <t xml:space="preserve">2013-01-19</t>
  </si>
  <si>
    <t xml:space="preserve">BAHIA X ITABAIANA</t>
  </si>
  <si>
    <t xml:space="preserve">2013-01-31</t>
  </si>
  <si>
    <t xml:space="preserve">BAHIA X CEARÁ</t>
  </si>
  <si>
    <t xml:space="preserve">2013-02-03</t>
  </si>
  <si>
    <t xml:space="preserve">BAHIA X ABC</t>
  </si>
  <si>
    <t xml:space="preserve">2013-03-24</t>
  </si>
  <si>
    <t xml:space="preserve">BAHIA X JUAZEIRENSE</t>
  </si>
  <si>
    <t xml:space="preserve">2013-04-07</t>
  </si>
  <si>
    <t xml:space="preserve">ARENA</t>
  </si>
  <si>
    <t xml:space="preserve">2013-04-14</t>
  </si>
  <si>
    <t xml:space="preserve">BAHIA X  VITORIA DA CONQUISTA</t>
  </si>
  <si>
    <t xml:space="preserve">2013-04-24</t>
  </si>
  <si>
    <t xml:space="preserve">BAHIA X BAHIA DE FEIRA</t>
  </si>
  <si>
    <t xml:space="preserve">entre 2001 e 5000 torcedores</t>
  </si>
  <si>
    <t xml:space="preserve">2013-04-28</t>
  </si>
  <si>
    <t xml:space="preserve">2013-05-01</t>
  </si>
  <si>
    <t xml:space="preserve">BAHIA X JUAZEIRO</t>
  </si>
  <si>
    <t xml:space="preserve">2013-05-12</t>
  </si>
  <si>
    <t xml:space="preserve">2013-05-15</t>
  </si>
  <si>
    <t xml:space="preserve">BAHIA X LUVERDENSE</t>
  </si>
  <si>
    <t xml:space="preserve">entre 1001 e 2000 torcedores</t>
  </si>
  <si>
    <t xml:space="preserve">2013-05-19</t>
  </si>
  <si>
    <t xml:space="preserve">2013-05-29</t>
  </si>
  <si>
    <t xml:space="preserve">2013-07-07</t>
  </si>
  <si>
    <t xml:space="preserve">2013-07-21</t>
  </si>
  <si>
    <t xml:space="preserve">Zona de Classificação</t>
  </si>
  <si>
    <t xml:space="preserve">2013-07-28</t>
  </si>
  <si>
    <t xml:space="preserve">BAHIA X GOIAS</t>
  </si>
  <si>
    <t xml:space="preserve">2013-07-31</t>
  </si>
  <si>
    <t xml:space="preserve">2013-08-11</t>
  </si>
  <si>
    <t xml:space="preserve">2013-08-18</t>
  </si>
  <si>
    <t xml:space="preserve">2013-08-25</t>
  </si>
  <si>
    <t xml:space="preserve">2013-08-28</t>
  </si>
  <si>
    <t xml:space="preserve">2013-09-04</t>
  </si>
  <si>
    <t xml:space="preserve">2013-09-11</t>
  </si>
  <si>
    <t xml:space="preserve">BAHIA X CRICIUMA</t>
  </si>
  <si>
    <t xml:space="preserve">2013-09-19</t>
  </si>
  <si>
    <t xml:space="preserve">BAHIA X INTER</t>
  </si>
  <si>
    <t xml:space="preserve">2013-09-29</t>
  </si>
  <si>
    <t xml:space="preserve">2013-10-06</t>
  </si>
  <si>
    <t xml:space="preserve">2013-10-09</t>
  </si>
  <si>
    <t xml:space="preserve">2013-10-20</t>
  </si>
  <si>
    <t xml:space="preserve">2013-10-24</t>
  </si>
  <si>
    <t xml:space="preserve">BAHIA X ATLETICO NAC COL</t>
  </si>
  <si>
    <t xml:space="preserve">2013-10-27</t>
  </si>
  <si>
    <t xml:space="preserve">BAHIA X ATHLETICO PR</t>
  </si>
  <si>
    <t xml:space="preserve">2013-11-09</t>
  </si>
  <si>
    <t xml:space="preserve">2013-11-24</t>
  </si>
  <si>
    <t xml:space="preserve">2013-12-08</t>
  </si>
  <si>
    <t xml:space="preserve">BAHIA X FLUMINENSE (RJ)</t>
  </si>
  <si>
    <t xml:space="preserve">2014-01-22</t>
  </si>
  <si>
    <t xml:space="preserve">BAHIA X SANTA CRUZ</t>
  </si>
  <si>
    <t xml:space="preserve">2014-01-25</t>
  </si>
  <si>
    <t xml:space="preserve">2014-02-05</t>
  </si>
  <si>
    <t xml:space="preserve">BAHIA X CSA</t>
  </si>
  <si>
    <t xml:space="preserve">2014-02-09</t>
  </si>
  <si>
    <t xml:space="preserve">BAHIA X GALICIA</t>
  </si>
  <si>
    <t xml:space="preserve">2014-02-12</t>
  </si>
  <si>
    <t xml:space="preserve">2014-02-13</t>
  </si>
  <si>
    <t xml:space="preserve">2014-02-19</t>
  </si>
  <si>
    <t xml:space="preserve">BAHIA X CONQUISTA</t>
  </si>
  <si>
    <t xml:space="preserve">SIM</t>
  </si>
  <si>
    <t xml:space="preserve">2014-02-23</t>
  </si>
  <si>
    <t xml:space="preserve">2014-03-05</t>
  </si>
  <si>
    <t xml:space="preserve">2014-03-09</t>
  </si>
  <si>
    <t xml:space="preserve">BAHIA X JACUIPENSE</t>
  </si>
  <si>
    <t xml:space="preserve">2014-03-23</t>
  </si>
  <si>
    <t xml:space="preserve">2014-03-29</t>
  </si>
  <si>
    <t xml:space="preserve">BAHIA X SERRANO </t>
  </si>
  <si>
    <t xml:space="preserve">2014-04-06</t>
  </si>
  <si>
    <t xml:space="preserve">2014-04-13</t>
  </si>
  <si>
    <t xml:space="preserve">2014-04-30</t>
  </si>
  <si>
    <t xml:space="preserve">BAHIA X VILA NOVA</t>
  </si>
  <si>
    <t xml:space="preserve">2014-05-04</t>
  </si>
  <si>
    <t xml:space="preserve">BAHIA X BOTAFOGO-RJ</t>
  </si>
  <si>
    <t xml:space="preserve">2014-05-11</t>
  </si>
  <si>
    <t xml:space="preserve">2014-05-14</t>
  </si>
  <si>
    <t xml:space="preserve">BAHIA X AMERICA MG</t>
  </si>
  <si>
    <t xml:space="preserve">2014-05-29</t>
  </si>
  <si>
    <t xml:space="preserve">2014-07-16</t>
  </si>
  <si>
    <t xml:space="preserve">2014-07-26</t>
  </si>
  <si>
    <t xml:space="preserve">2014-08-06</t>
  </si>
  <si>
    <t xml:space="preserve">2014-08-09</t>
  </si>
  <si>
    <t xml:space="preserve">2014-08-20</t>
  </si>
  <si>
    <t xml:space="preserve">2014-09-04</t>
  </si>
  <si>
    <t xml:space="preserve">2014-09-21</t>
  </si>
  <si>
    <t xml:space="preserve">2014-09-24</t>
  </si>
  <si>
    <t xml:space="preserve">2014-09-28</t>
  </si>
  <si>
    <t xml:space="preserve">2014-10-01</t>
  </si>
  <si>
    <t xml:space="preserve">BAHIA X CESAR VALLEJO</t>
  </si>
  <si>
    <t xml:space="preserve">2014-10-12</t>
  </si>
  <si>
    <t xml:space="preserve">BAHIA X CHAPECOENSE</t>
  </si>
  <si>
    <t xml:space="preserve">2014-10-21</t>
  </si>
  <si>
    <t xml:space="preserve">2014-11-02</t>
  </si>
  <si>
    <t xml:space="preserve">2014-11-16</t>
  </si>
  <si>
    <t xml:space="preserve">2014-11-23</t>
  </si>
  <si>
    <t xml:space="preserve">2014-11-30</t>
  </si>
  <si>
    <t xml:space="preserve">2015-02-04</t>
  </si>
  <si>
    <t xml:space="preserve">BAHIA X CAMPINENSE</t>
  </si>
  <si>
    <t xml:space="preserve">2015-02-07</t>
  </si>
  <si>
    <t xml:space="preserve">BAHIA X JACOBINA</t>
  </si>
  <si>
    <t xml:space="preserve">2015-02-22</t>
  </si>
  <si>
    <t xml:space="preserve">2015-02-25</t>
  </si>
  <si>
    <t xml:space="preserve">até 1000 torcedores</t>
  </si>
  <si>
    <t xml:space="preserve">BAHIA X CATUENSE</t>
  </si>
  <si>
    <t xml:space="preserve">2015-03-01</t>
  </si>
  <si>
    <t xml:space="preserve">2015-03-05</t>
  </si>
  <si>
    <t xml:space="preserve">BAHIA X GLOBO </t>
  </si>
  <si>
    <t xml:space="preserve">2015-03-08</t>
  </si>
  <si>
    <t xml:space="preserve">BAHIA X FEIRENSE</t>
  </si>
  <si>
    <t xml:space="preserve">2015-03-12</t>
  </si>
  <si>
    <t xml:space="preserve">BAHIA X CRB AL</t>
  </si>
  <si>
    <t xml:space="preserve">2015-03-15</t>
  </si>
  <si>
    <t xml:space="preserve">2015-03-22</t>
  </si>
  <si>
    <t xml:space="preserve">2015-03-28</t>
  </si>
  <si>
    <t xml:space="preserve">2015-04-12</t>
  </si>
  <si>
    <t xml:space="preserve">2015-04-14</t>
  </si>
  <si>
    <t xml:space="preserve">2015-04-16</t>
  </si>
  <si>
    <t xml:space="preserve">BAHIA X NACIONAL</t>
  </si>
  <si>
    <t xml:space="preserve">2015-04-19</t>
  </si>
  <si>
    <t xml:space="preserve">2015-04-22</t>
  </si>
  <si>
    <t xml:space="preserve">2015-05-03</t>
  </si>
  <si>
    <t xml:space="preserve">BAHIA X VITORIA DA CONQUISTA</t>
  </si>
  <si>
    <t xml:space="preserve">2015-05-20</t>
  </si>
  <si>
    <t xml:space="preserve">2015-05-29</t>
  </si>
  <si>
    <t xml:space="preserve">BAHIA X PARANA</t>
  </si>
  <si>
    <t xml:space="preserve">2015-06-13</t>
  </si>
  <si>
    <t xml:space="preserve">2015-06-27</t>
  </si>
  <si>
    <t xml:space="preserve">BAHIA X LUVERDENSE </t>
  </si>
  <si>
    <t xml:space="preserve">2015-07-04</t>
  </si>
  <si>
    <t xml:space="preserve">VITÓRIA X BAHIA</t>
  </si>
  <si>
    <t xml:space="preserve">2015-07-07</t>
  </si>
  <si>
    <t xml:space="preserve">BAHIA X PAYSANDU</t>
  </si>
  <si>
    <t xml:space="preserve">2015-07-11</t>
  </si>
  <si>
    <t xml:space="preserve">BAHIA X OESTE</t>
  </si>
  <si>
    <t xml:space="preserve">2015-07-22</t>
  </si>
  <si>
    <t xml:space="preserve">2015-07-25</t>
  </si>
  <si>
    <t xml:space="preserve">2015-08-07</t>
  </si>
  <si>
    <t xml:space="preserve">BAHIA X BOA-MG</t>
  </si>
  <si>
    <t xml:space="preserve">2015-08-11</t>
  </si>
  <si>
    <t xml:space="preserve">2015-08-19</t>
  </si>
  <si>
    <t xml:space="preserve">2015-08-22</t>
  </si>
  <si>
    <t xml:space="preserve">2015-09-01</t>
  </si>
  <si>
    <t xml:space="preserve">2015-09-05</t>
  </si>
  <si>
    <t xml:space="preserve">2015-09-07</t>
  </si>
  <si>
    <t xml:space="preserve">BAHIA X MACAE</t>
  </si>
  <si>
    <t xml:space="preserve">2015-09-11</t>
  </si>
  <si>
    <t xml:space="preserve">BAHIA X BRAGANTINO</t>
  </si>
  <si>
    <t xml:space="preserve">2015-09-19</t>
  </si>
  <si>
    <t xml:space="preserve">BAHIA X SAMPAIO CORREIA</t>
  </si>
  <si>
    <t xml:space="preserve">2015-10-03</t>
  </si>
  <si>
    <t xml:space="preserve">2015-10-20</t>
  </si>
  <si>
    <t xml:space="preserve">2015-11-07</t>
  </si>
  <si>
    <t xml:space="preserve">2015-11-10</t>
  </si>
  <si>
    <t xml:space="preserve">2015-11-28</t>
  </si>
  <si>
    <t xml:space="preserve">2016-02-11</t>
  </si>
  <si>
    <t xml:space="preserve">BAHIA X FLAMENGO DE GUANAMBI</t>
  </si>
  <si>
    <t xml:space="preserve">2016-02-18</t>
  </si>
  <si>
    <t xml:space="preserve">2016-02-25</t>
  </si>
  <si>
    <t xml:space="preserve">BAHIA X CONFIANCA</t>
  </si>
  <si>
    <t xml:space="preserve">2016-02-28</t>
  </si>
  <si>
    <t xml:space="preserve">2016-03-09</t>
  </si>
  <si>
    <t xml:space="preserve">2016-03-13</t>
  </si>
  <si>
    <t xml:space="preserve">2016-03-23</t>
  </si>
  <si>
    <t xml:space="preserve">2016-03-27</t>
  </si>
  <si>
    <t xml:space="preserve">2016-04-03</t>
  </si>
  <si>
    <t xml:space="preserve">BAHIA X FORTALEZA</t>
  </si>
  <si>
    <t xml:space="preserve">2016-04-06</t>
  </si>
  <si>
    <t xml:space="preserve">BAHIA X GLOBO</t>
  </si>
  <si>
    <t xml:space="preserve">2016-04-09</t>
  </si>
  <si>
    <t xml:space="preserve">2016-04-17</t>
  </si>
  <si>
    <t xml:space="preserve">2016-04-20</t>
  </si>
  <si>
    <t xml:space="preserve">BAHIA X FLUMINENSE</t>
  </si>
  <si>
    <t xml:space="preserve">2016-05-01</t>
  </si>
  <si>
    <t xml:space="preserve">2016-05-08</t>
  </si>
  <si>
    <t xml:space="preserve">2016-05-14</t>
  </si>
  <si>
    <t xml:space="preserve">BAHIA X AVAI </t>
  </si>
  <si>
    <t xml:space="preserve">2016-05-18</t>
  </si>
  <si>
    <t xml:space="preserve">2016-05-25</t>
  </si>
  <si>
    <t xml:space="preserve">BAHIA X JOINVILLE-SC</t>
  </si>
  <si>
    <t xml:space="preserve">2016-05-31</t>
  </si>
  <si>
    <t xml:space="preserve">BAHIA X NAUTICO </t>
  </si>
  <si>
    <t xml:space="preserve">2016-06-03</t>
  </si>
  <si>
    <t xml:space="preserve">BAHIA X PAYSANDU </t>
  </si>
  <si>
    <t xml:space="preserve">2016-06-10</t>
  </si>
  <si>
    <t xml:space="preserve">2016-06-18</t>
  </si>
  <si>
    <t xml:space="preserve">BAHIA X LONDRINA</t>
  </si>
  <si>
    <t xml:space="preserve">2016-06-19</t>
  </si>
  <si>
    <t xml:space="preserve">2016-06-28</t>
  </si>
  <si>
    <t xml:space="preserve">2016-07-05</t>
  </si>
  <si>
    <t xml:space="preserve">2016-07-23</t>
  </si>
  <si>
    <t xml:space="preserve">2016-08-16</t>
  </si>
  <si>
    <t xml:space="preserve">2016-08-27</t>
  </si>
  <si>
    <t xml:space="preserve">2016-09-03</t>
  </si>
  <si>
    <t xml:space="preserve">2016-09-17</t>
  </si>
  <si>
    <t xml:space="preserve">BAHIA X GOIAIS</t>
  </si>
  <si>
    <t xml:space="preserve">2016-09-30</t>
  </si>
  <si>
    <t xml:space="preserve">2016-10-09</t>
  </si>
  <si>
    <t xml:space="preserve">BAHIA X TUPI</t>
  </si>
  <si>
    <t xml:space="preserve">2016-10-14</t>
  </si>
  <si>
    <t xml:space="preserve">BAHIA X BRASIL</t>
  </si>
  <si>
    <t xml:space="preserve">2016-10-29</t>
  </si>
  <si>
    <t xml:space="preserve">2016-11-08</t>
  </si>
  <si>
    <t xml:space="preserve">2016-11-19</t>
  </si>
  <si>
    <t xml:space="preserve">2017-01-18</t>
  </si>
  <si>
    <t xml:space="preserve">2017-01-29</t>
  </si>
  <si>
    <t xml:space="preserve">2017-02-04</t>
  </si>
  <si>
    <t xml:space="preserve">BAHIA X MOTO CLUBE</t>
  </si>
  <si>
    <t xml:space="preserve">2017-02-08</t>
  </si>
  <si>
    <t xml:space="preserve">2017-02-19</t>
  </si>
  <si>
    <t xml:space="preserve">2017-03-02</t>
  </si>
  <si>
    <t xml:space="preserve">BAHIA X ALTOS-PI</t>
  </si>
  <si>
    <t xml:space="preserve">2017-03-13</t>
  </si>
  <si>
    <t xml:space="preserve">BAHIA X SERGIPE</t>
  </si>
  <si>
    <t xml:space="preserve">2017-03-18</t>
  </si>
  <si>
    <t xml:space="preserve">2017-03-22</t>
  </si>
  <si>
    <t xml:space="preserve">2017-04-02</t>
  </si>
  <si>
    <t xml:space="preserve">2017-04-05</t>
  </si>
  <si>
    <t xml:space="preserve">2017-04-09</t>
  </si>
  <si>
    <t xml:space="preserve">2017-04-22</t>
  </si>
  <si>
    <t xml:space="preserve">2017-04-27</t>
  </si>
  <si>
    <t xml:space="preserve">2017-04-30</t>
  </si>
  <si>
    <t xml:space="preserve">2017-05-03</t>
  </si>
  <si>
    <t xml:space="preserve">2017-05-07</t>
  </si>
  <si>
    <t xml:space="preserve">2017-05-14</t>
  </si>
  <si>
    <t xml:space="preserve">2017-05-24</t>
  </si>
  <si>
    <t xml:space="preserve">2017-06-05</t>
  </si>
  <si>
    <t xml:space="preserve">2017-06-08</t>
  </si>
  <si>
    <t xml:space="preserve">2017-06-18</t>
  </si>
  <si>
    <t xml:space="preserve">2017-06-25</t>
  </si>
  <si>
    <t xml:space="preserve">2017-07-02</t>
  </si>
  <si>
    <t xml:space="preserve">2017-07-09</t>
  </si>
  <si>
    <t xml:space="preserve">2017-07-16</t>
  </si>
  <si>
    <t xml:space="preserve">BAHIA X AVAI</t>
  </si>
  <si>
    <t xml:space="preserve">2017-07-30</t>
  </si>
  <si>
    <t xml:space="preserve">2017-08-06</t>
  </si>
  <si>
    <t xml:space="preserve">2017-08-20</t>
  </si>
  <si>
    <t xml:space="preserve">2017-08-27</t>
  </si>
  <si>
    <t xml:space="preserve">2017-09-24</t>
  </si>
  <si>
    <t xml:space="preserve">2017-09-30</t>
  </si>
  <si>
    <t xml:space="preserve">2017-10-15</t>
  </si>
  <si>
    <t xml:space="preserve">2017-10-22</t>
  </si>
  <si>
    <t xml:space="preserve">2017-11-05</t>
  </si>
  <si>
    <t xml:space="preserve">2017-11-12</t>
  </si>
  <si>
    <t xml:space="preserve">2017-11-16</t>
  </si>
  <si>
    <t xml:space="preserve">2017-11-26</t>
  </si>
  <si>
    <t xml:space="preserve">2018-04-01</t>
  </si>
  <si>
    <t xml:space="preserve">2018-04-08</t>
  </si>
  <si>
    <t xml:space="preserve">2019-01-16</t>
  </si>
  <si>
    <t xml:space="preserve">2019-01-23</t>
  </si>
  <si>
    <t xml:space="preserve">2019-01-30</t>
  </si>
  <si>
    <t xml:space="preserve">2019-02-03</t>
  </si>
  <si>
    <t xml:space="preserve">2019-02-07</t>
  </si>
  <si>
    <t xml:space="preserve">BAHIA X LIVERPOOL</t>
  </si>
  <si>
    <t xml:space="preserve">2019-02-10</t>
  </si>
  <si>
    <t xml:space="preserve">2019-03-10</t>
  </si>
  <si>
    <t xml:space="preserve">2019-03-13</t>
  </si>
  <si>
    <t xml:space="preserve">2019-03-21</t>
  </si>
  <si>
    <t xml:space="preserve">BAHIA X ATL ALAGOINHAS</t>
  </si>
  <si>
    <t xml:space="preserve">2019-03-24</t>
  </si>
  <si>
    <t xml:space="preserve">BAHIA X SALGUEIRO</t>
  </si>
  <si>
    <t xml:space="preserve">2019-04-09</t>
  </si>
  <si>
    <t xml:space="preserve">2019-04-18</t>
  </si>
  <si>
    <t xml:space="preserve">2019-04-21</t>
  </si>
  <si>
    <t xml:space="preserve">2019-04-28</t>
  </si>
  <si>
    <t xml:space="preserve">2019-05-05</t>
  </si>
  <si>
    <t xml:space="preserve">2019-05-26</t>
  </si>
  <si>
    <t xml:space="preserve">2019-05-29</t>
  </si>
  <si>
    <t xml:space="preserve">2019-06-01</t>
  </si>
  <si>
    <t xml:space="preserve">2019-07-13</t>
  </si>
  <si>
    <t xml:space="preserve">2019-07-17</t>
  </si>
  <si>
    <t xml:space="preserve">2019-07-20</t>
  </si>
  <si>
    <t xml:space="preserve">2019-08-04</t>
  </si>
  <si>
    <t xml:space="preserve">2019-08-18</t>
  </si>
  <si>
    <t xml:space="preserve">2019-08-31</t>
  </si>
  <si>
    <t xml:space="preserve">2019-09-15</t>
  </si>
  <si>
    <t xml:space="preserve">2019-09-25</t>
  </si>
  <si>
    <t xml:space="preserve">2019-10-05</t>
  </si>
  <si>
    <t xml:space="preserve">BAHIA X ATLHETICO PR</t>
  </si>
  <si>
    <t xml:space="preserve">2019-10-09</t>
  </si>
  <si>
    <t xml:space="preserve">BAHIA X SÃO PAULO</t>
  </si>
  <si>
    <t xml:space="preserve">2019-10-21</t>
  </si>
  <si>
    <t xml:space="preserve">2019-10-26</t>
  </si>
  <si>
    <t xml:space="preserve">2019-11-06</t>
  </si>
  <si>
    <t xml:space="preserve">2019-11-17</t>
  </si>
  <si>
    <t xml:space="preserve">2019-11-27</t>
  </si>
  <si>
    <t xml:space="preserve">2019-12-05</t>
  </si>
  <si>
    <t xml:space="preserve">2020-01-26</t>
  </si>
  <si>
    <t xml:space="preserve">2020-01-28</t>
  </si>
  <si>
    <t xml:space="preserve">BAHIA X IMPERATRIZ</t>
  </si>
  <si>
    <t xml:space="preserve">2020-02-02</t>
  </si>
  <si>
    <t xml:space="preserve">2020-02-08</t>
  </si>
  <si>
    <t xml:space="preserve">2020-02-12</t>
  </si>
  <si>
    <t xml:space="preserve">2020-03-01</t>
  </si>
  <si>
    <t xml:space="preserve">2020-03-07</t>
  </si>
  <si>
    <t xml:space="preserve">2021-10-12</t>
  </si>
  <si>
    <t xml:space="preserve">2021-10-24</t>
  </si>
  <si>
    <t xml:space="preserve">2021-10-27</t>
  </si>
  <si>
    <t xml:space="preserve">2021-11-07</t>
  </si>
  <si>
    <t xml:space="preserve">2021-11-21</t>
  </si>
  <si>
    <t xml:space="preserve">BAHIA X CUIABA</t>
  </si>
  <si>
    <t xml:space="preserve">2021-11-26</t>
  </si>
  <si>
    <t xml:space="preserve">2021-12-02</t>
  </si>
  <si>
    <t xml:space="preserve">2021-12-05</t>
  </si>
  <si>
    <t xml:space="preserve">2022-01-19</t>
  </si>
  <si>
    <t xml:space="preserve">BAHIA X UNIRB</t>
  </si>
  <si>
    <t xml:space="preserve">2022-02-02</t>
  </si>
  <si>
    <t xml:space="preserve">2022-02-09</t>
  </si>
  <si>
    <t xml:space="preserve">BAHIA X BARCELONA</t>
  </si>
  <si>
    <t xml:space="preserve">2022-02-12</t>
  </si>
  <si>
    <t xml:space="preserve">2022-02-16</t>
  </si>
  <si>
    <t xml:space="preserve">2022-02-24</t>
  </si>
  <si>
    <t xml:space="preserve">2022-03-05</t>
  </si>
  <si>
    <t xml:space="preserve">2022-03-12</t>
  </si>
  <si>
    <t xml:space="preserve">2022-03-16</t>
  </si>
  <si>
    <t xml:space="preserve">2022-04-08</t>
  </si>
  <si>
    <t xml:space="preserve">2022-04-19</t>
  </si>
  <si>
    <t xml:space="preserve">BAHIA X AZURIS</t>
  </si>
  <si>
    <t xml:space="preserve">2022-04-26</t>
  </si>
  <si>
    <t xml:space="preserve">2022-05-03</t>
  </si>
  <si>
    <t xml:space="preserve">2022-05-20</t>
  </si>
  <si>
    <t xml:space="preserve">2022-05-22</t>
  </si>
  <si>
    <t xml:space="preserve">2022-06-04</t>
  </si>
  <si>
    <t xml:space="preserve">2022-06-08</t>
  </si>
  <si>
    <t xml:space="preserve">2022-06-14</t>
  </si>
  <si>
    <t xml:space="preserve">2022-06-25</t>
  </si>
  <si>
    <t xml:space="preserve">BAHIA X NOVORIZONTINO</t>
  </si>
  <si>
    <t xml:space="preserve">2022-07-03</t>
  </si>
  <si>
    <t xml:space="preserve">2022-07-19</t>
  </si>
  <si>
    <t xml:space="preserve">2022-07-29</t>
  </si>
  <si>
    <t xml:space="preserve">2022-08-06</t>
  </si>
  <si>
    <t xml:space="preserve">BAHIA X X CSA</t>
  </si>
  <si>
    <t xml:space="preserve">2022-08-12</t>
  </si>
  <si>
    <t xml:space="preserve">BAHIA X ITUANO</t>
  </si>
  <si>
    <t xml:space="preserve">2022-08-28</t>
  </si>
  <si>
    <t xml:space="preserve">2022-09-03</t>
  </si>
  <si>
    <t xml:space="preserve">BAHIA X TOMBENSE</t>
  </si>
  <si>
    <t xml:space="preserve">2022-09-24</t>
  </si>
  <si>
    <t xml:space="preserve">BAHIA X OPERARIO</t>
  </si>
  <si>
    <t xml:space="preserve">2022-10-08</t>
  </si>
  <si>
    <t xml:space="preserve">BAHIA X BRUSQUE -SC</t>
  </si>
  <si>
    <t xml:space="preserve">2022-10-22</t>
  </si>
  <si>
    <t xml:space="preserve">2022-10-28</t>
  </si>
  <si>
    <t xml:space="preserve">BAHIA X GUARNANI</t>
  </si>
  <si>
    <t xml:space="preserve">2023-01-11</t>
  </si>
  <si>
    <t xml:space="preserve">2023-01-18</t>
  </si>
  <si>
    <t xml:space="preserve">2023-01-29</t>
  </si>
  <si>
    <t xml:space="preserve">2023-02-04</t>
  </si>
  <si>
    <t xml:space="preserve">BAHIA X FERROVIARIO</t>
  </si>
  <si>
    <t xml:space="preserve">2023-02-08</t>
  </si>
  <si>
    <t xml:space="preserve">2023-02-14</t>
  </si>
  <si>
    <t xml:space="preserve">2023-02-16</t>
  </si>
  <si>
    <t xml:space="preserve">2023-03-05</t>
  </si>
  <si>
    <t xml:space="preserve">2023-03-22</t>
  </si>
  <si>
    <t xml:space="preserve">2023-04-02</t>
  </si>
  <si>
    <t xml:space="preserve">2023-04-24</t>
  </si>
  <si>
    <t xml:space="preserve">2023-04-27</t>
  </si>
  <si>
    <t xml:space="preserve">BAHIA X VOLTA REDONDA-RJ</t>
  </si>
  <si>
    <t xml:space="preserve">2023-05-07</t>
  </si>
  <si>
    <t xml:space="preserve">2023-05-13</t>
  </si>
  <si>
    <t xml:space="preserve">2023-05-20</t>
  </si>
  <si>
    <t xml:space="preserve">2023-06-10</t>
  </si>
  <si>
    <t xml:space="preserve">2023-06-21</t>
  </si>
  <si>
    <t xml:space="preserve">2023-07-01</t>
  </si>
  <si>
    <t xml:space="preserve">2023-07-04</t>
  </si>
  <si>
    <t xml:space="preserve">2023-07-22</t>
  </si>
  <si>
    <t xml:space="preserve">2023-08-06</t>
  </si>
  <si>
    <t xml:space="preserve">2023-08-20</t>
  </si>
  <si>
    <t xml:space="preserve">2023-09-03</t>
  </si>
  <si>
    <t xml:space="preserve">2023-09-18</t>
  </si>
  <si>
    <t xml:space="preserve">2023-10-18</t>
  </si>
  <si>
    <t xml:space="preserve">2023-10-21</t>
  </si>
  <si>
    <t xml:space="preserve">2023-10-31</t>
  </si>
  <si>
    <t xml:space="preserve">2023-11-09</t>
  </si>
  <si>
    <t xml:space="preserve">2023-11-12</t>
  </si>
  <si>
    <t xml:space="preserve">2023-11-26</t>
  </si>
  <si>
    <t xml:space="preserve">2023-12-06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</si>
</sst>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yyyy/mm/dd;@"/>
    <numFmt numFmtId="167" formatCode="#,##0.00"/>
    <numFmt numFmtId="168" formatCode="yyyy/mm/dd"/>
    <numFmt numFmtId="169" formatCode="0"/>
    <numFmt numFmtId="170" formatCode="_(\$* #,##0.00_);_(\$* \(#,##0.00\);_(\$* \-??_);_(@_)"/>
    <numFmt numFmtId="171" formatCode="dd/mm/yyyy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Arial"/>
      <family val="2"/>
    </font>
    <font>
      <b val="true"/>
      <sz val="10"/>
      <name val="Arial"/>
      <family val="2"/>
    </font>
    <font>
      <sz val="10"/>
      <color rgb="FFFF0000"/>
      <name val="Arial"/>
      <family val="2"/>
    </font>
    <font>
      <b val="true"/>
      <sz val="11"/>
      <color rgb="FFFF0000"/>
      <name val="Calibri"/>
      <family val="2"/>
    </font>
    <font>
      <b val="true"/>
      <sz val="11"/>
      <name val="Calibri"/>
      <family val="2"/>
    </font>
    <font>
      <sz val="11"/>
      <name val="Calibri"/>
      <family val="2"/>
    </font>
    <font>
      <b val="true"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6" xfId="21"/>
  </cellStyles>
  <dxfs count="4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3" customHeight="false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16.99"/>
    <col collapsed="false" customWidth="true" hidden="false" outlineLevel="0" max="3" min="3" style="1" width="17.66"/>
    <col collapsed="false" customWidth="true" hidden="false" outlineLevel="0" max="4" min="4" style="1" width="14.99"/>
    <col collapsed="false" customWidth="true" hidden="false" outlineLevel="0" max="6" min="5" style="1" width="10.99"/>
    <col collapsed="false" customWidth="true" hidden="false" outlineLevel="0" max="7" min="7" style="1" width="56.99"/>
    <col collapsed="false" customWidth="true" hidden="false" outlineLevel="0" max="9" min="8" style="1" width="10.99"/>
    <col collapsed="false" customWidth="true" hidden="false" outlineLevel="0" max="10" min="10" style="1" width="14.66"/>
    <col collapsed="false" customWidth="true" hidden="false" outlineLevel="0" max="11" min="11" style="1" width="24.99"/>
    <col collapsed="false" customWidth="true" hidden="false" outlineLevel="0" max="12" min="12" style="1" width="20.99"/>
    <col collapsed="false" customWidth="true" hidden="false" outlineLevel="0" max="13" min="13" style="1" width="10.99"/>
    <col collapsed="false" customWidth="true" hidden="false" outlineLevel="0" max="14" min="14" style="1" width="29.99"/>
    <col collapsed="false" customWidth="true" hidden="false" outlineLevel="0" max="15" min="15" style="2" width="25.66"/>
    <col collapsed="false" customWidth="false" hidden="false" outlineLevel="0" max="16" min="16" style="3" width="9.15"/>
    <col collapsed="false" customWidth="true" hidden="false" outlineLevel="0" max="17" min="17" style="4" width="17.82"/>
    <col collapsed="false" customWidth="true" hidden="false" outlineLevel="0" max="18" min="18" style="4" width="19.15"/>
    <col collapsed="false" customWidth="true" hidden="false" outlineLevel="0" max="19" min="19" style="1" width="13.99"/>
    <col collapsed="false" customWidth="true" hidden="false" outlineLevel="0" max="20" min="20" style="1" width="11.5"/>
    <col collapsed="false" customWidth="true" hidden="false" outlineLevel="0" max="21" min="21" style="1" width="23.49"/>
    <col collapsed="false" customWidth="true" hidden="false" outlineLevel="0" max="22" min="22" style="1" width="10.5"/>
    <col collapsed="false" customWidth="true" hidden="false" outlineLevel="0" max="23" min="23" style="1" width="8.99"/>
    <col collapsed="false" customWidth="true" hidden="false" outlineLevel="0" max="24" min="24" style="1" width="9.33"/>
    <col collapsed="false" customWidth="true" hidden="false" outlineLevel="0" max="25" min="25" style="1" width="17.82"/>
    <col collapsed="false" customWidth="true" hidden="false" outlineLevel="0" max="26" min="26" style="1" width="13.49"/>
    <col collapsed="false" customWidth="true" hidden="false" outlineLevel="0" max="27" min="27" style="1" width="14.15"/>
    <col collapsed="false" customWidth="true" hidden="false" outlineLevel="0" max="28" min="28" style="1" width="15.5"/>
    <col collapsed="false" customWidth="true" hidden="false" outlineLevel="0" max="29" min="29" style="1" width="13.33"/>
    <col collapsed="false" customWidth="true" hidden="false" outlineLevel="0" max="30" min="30" style="1" width="12.15"/>
    <col collapsed="false" customWidth="true" hidden="false" outlineLevel="0" max="31" min="31" style="1" width="9.99"/>
    <col collapsed="false" customWidth="true" hidden="false" outlineLevel="0" max="32" min="32" style="1" width="23.66"/>
    <col collapsed="false" customWidth="true" hidden="false" outlineLevel="0" max="33" min="33" style="1" width="26.5"/>
    <col collapsed="false" customWidth="true" hidden="false" outlineLevel="0" max="34" min="34" style="1" width="9.33"/>
    <col collapsed="false" customWidth="true" hidden="false" outlineLevel="0" max="35" min="35" style="1" width="16.82"/>
    <col collapsed="false" customWidth="true" hidden="false" outlineLevel="0" max="36" min="36" style="1" width="23.15"/>
    <col collapsed="false" customWidth="true" hidden="false" outlineLevel="0" max="37" min="37" style="1" width="13.33"/>
    <col collapsed="false" customWidth="true" hidden="false" outlineLevel="0" max="38" min="38" style="1" width="22.66"/>
    <col collapsed="false" customWidth="true" hidden="false" outlineLevel="0" max="39" min="39" style="1" width="10.66"/>
    <col collapsed="false" customWidth="false" hidden="false" outlineLevel="0" max="257" min="40" style="1" width="9.15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</row>
    <row r="2" customFormat="false" ht="15" hidden="false" customHeight="false" outlineLevel="0" collapsed="false">
      <c r="A2" s="10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2" t="s">
        <v>45</v>
      </c>
      <c r="H2" s="11" t="s">
        <v>46</v>
      </c>
      <c r="I2" s="11" t="s">
        <v>47</v>
      </c>
      <c r="J2" s="11" t="s">
        <v>46</v>
      </c>
      <c r="K2" s="11" t="s">
        <v>48</v>
      </c>
      <c r="L2" s="11" t="s">
        <v>49</v>
      </c>
      <c r="M2" s="11" t="s">
        <v>50</v>
      </c>
      <c r="N2" s="11" t="s">
        <v>51</v>
      </c>
      <c r="O2" s="13" t="str">
        <f aca="false">IF(AND(R2&gt;600,Q2&gt;20000),"OBEDECE",IF(AND(R2&gt;300,Q2&gt;=10000,Q2&lt;=20000),"OBEDECE",IF(AND(R2&gt;150,Q2&gt;=5000,Q2&lt;=9999),"OBEDECE",IF(AND(R2&gt;60,Q2&gt;=2000,Q2&lt;=4999),"OBEDECE",IF(AND(R2&gt;30,Q2&gt;=1000,Q2&lt;=1999),"OBEDECE",IF(AND(R2&lt;=29,Q2&lt;=1000),"OBEDECE","NÃO OBEDECE"))))))</f>
        <v>NÃO OBEDECE</v>
      </c>
      <c r="P2" s="3" t="s">
        <v>52</v>
      </c>
      <c r="Q2" s="4" t="n">
        <v>31263</v>
      </c>
      <c r="R2" s="4" t="n">
        <v>566</v>
      </c>
      <c r="S2" s="14" t="n">
        <v>0</v>
      </c>
      <c r="T2" s="14" t="n">
        <v>2</v>
      </c>
      <c r="U2" s="14" t="n">
        <v>0</v>
      </c>
      <c r="V2" s="14" t="n">
        <v>1</v>
      </c>
      <c r="W2" s="14" t="n">
        <v>0</v>
      </c>
      <c r="X2" s="14" t="n">
        <v>4</v>
      </c>
      <c r="Y2" s="14" t="n">
        <v>3</v>
      </c>
      <c r="Z2" s="14" t="n">
        <v>0</v>
      </c>
      <c r="AA2" s="14" t="n">
        <v>0</v>
      </c>
      <c r="AB2" s="14" t="n">
        <v>0</v>
      </c>
      <c r="AC2" s="14" t="n">
        <v>0</v>
      </c>
      <c r="AD2" s="14" t="n">
        <v>0</v>
      </c>
      <c r="AE2" s="14" t="n">
        <v>0</v>
      </c>
      <c r="AF2" s="14" t="n">
        <v>0</v>
      </c>
      <c r="AG2" s="14" t="n">
        <v>1</v>
      </c>
      <c r="AH2" s="14" t="n">
        <v>0</v>
      </c>
      <c r="AI2" s="14" t="n">
        <v>0</v>
      </c>
      <c r="AJ2" s="14" t="n">
        <v>0</v>
      </c>
      <c r="AK2" s="14" t="n">
        <v>2</v>
      </c>
      <c r="AL2" s="14" t="n">
        <v>0</v>
      </c>
      <c r="AM2" s="14" t="n">
        <v>1</v>
      </c>
    </row>
    <row r="3" customFormat="false" ht="15" hidden="false" customHeight="false" outlineLevel="0" collapsed="false">
      <c r="A3" s="11" t="s">
        <v>53</v>
      </c>
      <c r="B3" s="11" t="s">
        <v>54</v>
      </c>
      <c r="C3" s="11" t="s">
        <v>41</v>
      </c>
      <c r="D3" s="11" t="s">
        <v>55</v>
      </c>
      <c r="E3" s="11" t="s">
        <v>56</v>
      </c>
      <c r="F3" s="11" t="s">
        <v>57</v>
      </c>
      <c r="G3" s="12" t="s">
        <v>58</v>
      </c>
      <c r="H3" s="11" t="s">
        <v>46</v>
      </c>
      <c r="I3" s="11" t="s">
        <v>47</v>
      </c>
      <c r="J3" s="11" t="s">
        <v>47</v>
      </c>
      <c r="K3" s="11" t="s">
        <v>59</v>
      </c>
      <c r="L3" s="11" t="s">
        <v>49</v>
      </c>
      <c r="M3" s="11" t="s">
        <v>60</v>
      </c>
      <c r="N3" s="11" t="s">
        <v>61</v>
      </c>
      <c r="O3" s="13" t="str">
        <f aca="false">IF(AND(R3&gt;600,Q3&gt;20000),"OBEDECE",IF(AND(R3&gt;300,Q3&gt;=10000,Q3&lt;=20000),"OBEDECE",IF(AND(R3&gt;150,Q3&gt;=5000,Q3&lt;=9999),"OBEDECE",IF(AND(R3&gt;60,Q3&gt;=2000,Q3&lt;=4999),"OBEDECE",IF(AND(R3&gt;30,Q3&gt;=1000,Q3&lt;=1999),"OBEDECE",IF(AND(R3&lt;=29,Q3&lt;=1000),"OBEDECE","NÃO OBEDECE"))))))</f>
        <v>OBEDECE</v>
      </c>
      <c r="P3" s="3" t="s">
        <v>62</v>
      </c>
      <c r="Q3" s="4" t="n">
        <v>13513</v>
      </c>
      <c r="R3" s="4" t="n">
        <v>375</v>
      </c>
      <c r="S3" s="14" t="n">
        <v>0</v>
      </c>
      <c r="T3" s="14" t="n">
        <v>0</v>
      </c>
      <c r="U3" s="14" t="n">
        <v>0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14" t="n">
        <v>0</v>
      </c>
      <c r="AB3" s="14" t="n">
        <v>0</v>
      </c>
      <c r="AC3" s="14" t="n">
        <v>0</v>
      </c>
      <c r="AD3" s="14" t="n">
        <v>0</v>
      </c>
      <c r="AE3" s="14" t="n">
        <v>0</v>
      </c>
      <c r="AF3" s="14" t="n">
        <v>0</v>
      </c>
      <c r="AG3" s="14" t="n">
        <v>0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</row>
    <row r="4" customFormat="false" ht="15" hidden="false" customHeight="false" outlineLevel="0" collapsed="false">
      <c r="A4" s="10" t="s">
        <v>63</v>
      </c>
      <c r="B4" s="11" t="s">
        <v>40</v>
      </c>
      <c r="C4" s="11" t="s">
        <v>41</v>
      </c>
      <c r="D4" s="11" t="s">
        <v>42</v>
      </c>
      <c r="E4" s="11" t="s">
        <v>56</v>
      </c>
      <c r="F4" s="11" t="s">
        <v>57</v>
      </c>
      <c r="G4" s="12" t="s">
        <v>64</v>
      </c>
      <c r="H4" s="11" t="s">
        <v>46</v>
      </c>
      <c r="I4" s="11" t="s">
        <v>47</v>
      </c>
      <c r="J4" s="11" t="s">
        <v>46</v>
      </c>
      <c r="K4" s="11" t="s">
        <v>48</v>
      </c>
      <c r="L4" s="11" t="s">
        <v>49</v>
      </c>
      <c r="M4" s="11" t="s">
        <v>50</v>
      </c>
      <c r="N4" s="11" t="s">
        <v>51</v>
      </c>
      <c r="O4" s="13" t="str">
        <f aca="false">IF(AND(R4&gt;600,Q4&gt;20000),"OBEDECE",IF(AND(R4&gt;300,Q4&gt;=10000,Q4&lt;=20000),"OBEDECE",IF(AND(R4&gt;150,Q4&gt;=5000,Q4&lt;=9999),"OBEDECE",IF(AND(R4&gt;60,Q4&gt;=2000,Q4&lt;=4999),"OBEDECE",IF(AND(R4&gt;30,Q4&gt;=1000,Q4&lt;=1999),"OBEDECE",IF(AND(R4&lt;=29,Q4&lt;=1000),"OBEDECE","NÃO OBEDECE"))))))</f>
        <v>OBEDECE</v>
      </c>
      <c r="P4" s="3" t="s">
        <v>52</v>
      </c>
      <c r="Q4" s="4" t="n">
        <v>32157</v>
      </c>
      <c r="R4" s="4" t="n">
        <v>939</v>
      </c>
      <c r="S4" s="14" t="n">
        <v>0</v>
      </c>
      <c r="T4" s="14" t="n">
        <v>0</v>
      </c>
      <c r="U4" s="14" t="n">
        <v>0</v>
      </c>
      <c r="V4" s="14" t="n">
        <v>1</v>
      </c>
      <c r="W4" s="14" t="n">
        <v>0</v>
      </c>
      <c r="X4" s="14" t="n">
        <v>2</v>
      </c>
      <c r="Y4" s="14" t="n">
        <v>0</v>
      </c>
      <c r="Z4" s="14" t="n">
        <v>3</v>
      </c>
      <c r="AA4" s="14" t="n">
        <v>0</v>
      </c>
      <c r="AB4" s="14" t="n">
        <v>0</v>
      </c>
      <c r="AC4" s="14" t="n">
        <v>0</v>
      </c>
      <c r="AD4" s="14" t="n">
        <v>0</v>
      </c>
      <c r="AE4" s="14" t="n">
        <v>0</v>
      </c>
      <c r="AF4" s="14" t="n">
        <v>0</v>
      </c>
      <c r="AG4" s="14" t="n">
        <v>0</v>
      </c>
      <c r="AH4" s="14" t="n">
        <v>1</v>
      </c>
      <c r="AI4" s="14" t="n">
        <v>0</v>
      </c>
      <c r="AJ4" s="14" t="n">
        <v>0</v>
      </c>
      <c r="AK4" s="14" t="n">
        <v>1</v>
      </c>
      <c r="AL4" s="14" t="n">
        <v>0</v>
      </c>
      <c r="AM4" s="14" t="n">
        <v>0</v>
      </c>
    </row>
    <row r="5" customFormat="false" ht="15" hidden="false" customHeight="false" outlineLevel="0" collapsed="false">
      <c r="A5" s="11" t="s">
        <v>65</v>
      </c>
      <c r="B5" s="11" t="s">
        <v>54</v>
      </c>
      <c r="C5" s="11" t="s">
        <v>66</v>
      </c>
      <c r="D5" s="11" t="s">
        <v>55</v>
      </c>
      <c r="E5" s="11" t="s">
        <v>56</v>
      </c>
      <c r="F5" s="11" t="s">
        <v>57</v>
      </c>
      <c r="G5" s="12" t="s">
        <v>67</v>
      </c>
      <c r="H5" s="11" t="s">
        <v>46</v>
      </c>
      <c r="I5" s="11" t="s">
        <v>47</v>
      </c>
      <c r="J5" s="11" t="s">
        <v>47</v>
      </c>
      <c r="K5" s="11" t="s">
        <v>59</v>
      </c>
      <c r="L5" s="11" t="s">
        <v>49</v>
      </c>
      <c r="M5" s="11" t="s">
        <v>60</v>
      </c>
      <c r="N5" s="11" t="s">
        <v>61</v>
      </c>
      <c r="O5" s="13" t="str">
        <f aca="false">IF(AND(R5&gt;600,Q5&gt;20000),"OBEDECE",IF(AND(R5&gt;300,Q5&gt;=10000,Q5&lt;=20000),"OBEDECE",IF(AND(R5&gt;150,Q5&gt;=5000,Q5&lt;=9999),"OBEDECE",IF(AND(R5&gt;60,Q5&gt;=2000,Q5&lt;=4999),"OBEDECE",IF(AND(R5&gt;30,Q5&gt;=1000,Q5&lt;=1999),"OBEDECE",IF(AND(R5&lt;=29,Q5&lt;=1000),"OBEDECE","NÃO OBEDECE"))))))</f>
        <v>OBEDECE</v>
      </c>
      <c r="P5" s="3" t="s">
        <v>68</v>
      </c>
      <c r="Q5" s="4" t="n">
        <v>11807</v>
      </c>
      <c r="R5" s="4" t="n">
        <v>331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1</v>
      </c>
      <c r="AE5" s="14" t="n">
        <v>0</v>
      </c>
      <c r="AF5" s="14" t="n">
        <v>0</v>
      </c>
      <c r="AG5" s="14" t="n">
        <v>0</v>
      </c>
      <c r="AH5" s="14" t="n">
        <v>0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</row>
    <row r="6" customFormat="false" ht="15" hidden="false" customHeight="false" outlineLevel="0" collapsed="false">
      <c r="A6" s="11" t="s">
        <v>69</v>
      </c>
      <c r="B6" s="11" t="s">
        <v>40</v>
      </c>
      <c r="C6" s="11" t="s">
        <v>66</v>
      </c>
      <c r="D6" s="11" t="s">
        <v>42</v>
      </c>
      <c r="E6" s="11" t="s">
        <v>56</v>
      </c>
      <c r="F6" s="11" t="s">
        <v>57</v>
      </c>
      <c r="G6" s="12" t="s">
        <v>70</v>
      </c>
      <c r="H6" s="11" t="s">
        <v>46</v>
      </c>
      <c r="I6" s="11" t="s">
        <v>47</v>
      </c>
      <c r="J6" s="11" t="s">
        <v>47</v>
      </c>
      <c r="K6" s="11" t="s">
        <v>59</v>
      </c>
      <c r="L6" s="11" t="s">
        <v>49</v>
      </c>
      <c r="M6" s="11" t="s">
        <v>60</v>
      </c>
      <c r="N6" s="11" t="s">
        <v>71</v>
      </c>
      <c r="O6" s="13" t="str">
        <f aca="false">IF(AND(R6&gt;600,Q6&gt;20000),"OBEDECE",IF(AND(R6&gt;300,Q6&gt;=10000,Q6&lt;=20000),"OBEDECE",IF(AND(R6&gt;150,Q6&gt;=5000,Q6&lt;=9999),"OBEDECE",IF(AND(R6&gt;60,Q6&gt;=2000,Q6&lt;=4999),"OBEDECE",IF(AND(R6&gt;30,Q6&gt;=1000,Q6&lt;=1999),"OBEDECE",IF(AND(R6&lt;=29,Q6&lt;=1000),"OBEDECE","NÃO OBEDECE"))))))</f>
        <v>OBEDECE</v>
      </c>
      <c r="P6" s="3" t="s">
        <v>62</v>
      </c>
      <c r="Q6" s="4" t="n">
        <v>8908</v>
      </c>
      <c r="R6" s="4" t="n">
        <v>252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</row>
    <row r="7" customFormat="false" ht="15" hidden="false" customHeight="false" outlineLevel="0" collapsed="false">
      <c r="A7" s="11" t="s">
        <v>72</v>
      </c>
      <c r="B7" s="11" t="s">
        <v>40</v>
      </c>
      <c r="C7" s="11" t="s">
        <v>41</v>
      </c>
      <c r="D7" s="11" t="s">
        <v>42</v>
      </c>
      <c r="E7" s="11" t="s">
        <v>56</v>
      </c>
      <c r="F7" s="11" t="s">
        <v>57</v>
      </c>
      <c r="G7" s="12" t="s">
        <v>73</v>
      </c>
      <c r="H7" s="11" t="s">
        <v>46</v>
      </c>
      <c r="I7" s="11" t="s">
        <v>47</v>
      </c>
      <c r="J7" s="11" t="s">
        <v>47</v>
      </c>
      <c r="K7" s="11" t="s">
        <v>59</v>
      </c>
      <c r="L7" s="11" t="s">
        <v>74</v>
      </c>
      <c r="M7" s="11" t="s">
        <v>60</v>
      </c>
      <c r="N7" s="11" t="s">
        <v>61</v>
      </c>
      <c r="O7" s="13" t="str">
        <f aca="false">IF(AND(R7&gt;600,Q7&gt;20000),"OBEDECE",IF(AND(R7&gt;300,Q7&gt;=10000,Q7&lt;=20000),"OBEDECE",IF(AND(R7&gt;150,Q7&gt;=5000,Q7&lt;=9999),"OBEDECE",IF(AND(R7&gt;60,Q7&gt;=2000,Q7&lt;=4999),"OBEDECE",IF(AND(R7&gt;30,Q7&gt;=1000,Q7&lt;=1999),"OBEDECE",IF(AND(R7&lt;=29,Q7&lt;=1000),"OBEDECE","NÃO OBEDECE"))))))</f>
        <v>OBEDECE</v>
      </c>
      <c r="P7" s="3" t="s">
        <v>52</v>
      </c>
      <c r="Q7" s="4" t="n">
        <v>17908</v>
      </c>
      <c r="R7" s="4" t="n">
        <v>315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2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4</v>
      </c>
      <c r="AL7" s="14" t="n">
        <v>0</v>
      </c>
      <c r="AM7" s="14" t="n">
        <v>0</v>
      </c>
    </row>
    <row r="8" customFormat="false" ht="15" hidden="false" customHeight="false" outlineLevel="0" collapsed="false">
      <c r="A8" s="11" t="s">
        <v>75</v>
      </c>
      <c r="B8" s="11" t="s">
        <v>40</v>
      </c>
      <c r="C8" s="11" t="s">
        <v>66</v>
      </c>
      <c r="D8" s="11" t="s">
        <v>42</v>
      </c>
      <c r="E8" s="11" t="s">
        <v>56</v>
      </c>
      <c r="F8" s="11" t="s">
        <v>57</v>
      </c>
      <c r="G8" s="12" t="s">
        <v>76</v>
      </c>
      <c r="H8" s="11" t="s">
        <v>46</v>
      </c>
      <c r="I8" s="11" t="s">
        <v>47</v>
      </c>
      <c r="J8" s="11" t="s">
        <v>47</v>
      </c>
      <c r="K8" s="11" t="s">
        <v>59</v>
      </c>
      <c r="L8" s="11" t="s">
        <v>77</v>
      </c>
      <c r="M8" s="11" t="s">
        <v>50</v>
      </c>
      <c r="N8" s="11" t="s">
        <v>61</v>
      </c>
      <c r="O8" s="13" t="str">
        <f aca="false">IF(AND(R8&gt;600,Q8&gt;20000),"OBEDECE",IF(AND(R8&gt;300,Q8&gt;=10000,Q8&lt;=20000),"OBEDECE",IF(AND(R8&gt;150,Q8&gt;=5000,Q8&lt;=9999),"OBEDECE",IF(AND(R8&gt;60,Q8&gt;=2000,Q8&lt;=4999),"OBEDECE",IF(AND(R8&gt;30,Q8&gt;=1000,Q8&lt;=1999),"OBEDECE",IF(AND(R8&lt;=29,Q8&lt;=1000),"OBEDECE","NÃO OBEDECE"))))))</f>
        <v>OBEDECE</v>
      </c>
      <c r="P8" s="3" t="s">
        <v>52</v>
      </c>
      <c r="Q8" s="4" t="n">
        <v>11031</v>
      </c>
      <c r="R8" s="4" t="n">
        <v>314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1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1</v>
      </c>
      <c r="AL8" s="14" t="n">
        <v>0</v>
      </c>
      <c r="AM8" s="14" t="n">
        <v>0</v>
      </c>
    </row>
    <row r="9" customFormat="false" ht="15" hidden="false" customHeight="false" outlineLevel="0" collapsed="false">
      <c r="A9" s="11" t="s">
        <v>78</v>
      </c>
      <c r="B9" s="11" t="s">
        <v>40</v>
      </c>
      <c r="C9" s="11" t="s">
        <v>41</v>
      </c>
      <c r="D9" s="11" t="s">
        <v>42</v>
      </c>
      <c r="E9" s="11" t="s">
        <v>56</v>
      </c>
      <c r="F9" s="11" t="s">
        <v>57</v>
      </c>
      <c r="G9" s="12" t="s">
        <v>79</v>
      </c>
      <c r="H9" s="11" t="s">
        <v>46</v>
      </c>
      <c r="I9" s="11" t="s">
        <v>47</v>
      </c>
      <c r="J9" s="11" t="s">
        <v>47</v>
      </c>
      <c r="K9" s="11" t="s">
        <v>59</v>
      </c>
      <c r="L9" s="11" t="s">
        <v>74</v>
      </c>
      <c r="M9" s="11" t="s">
        <v>50</v>
      </c>
      <c r="N9" s="11" t="s">
        <v>61</v>
      </c>
      <c r="O9" s="13" t="str">
        <f aca="false">IF(AND(R9&gt;600,Q9&gt;20000),"OBEDECE",IF(AND(R9&gt;300,Q9&gt;=10000,Q9&lt;=20000),"OBEDECE",IF(AND(R9&gt;150,Q9&gt;=5000,Q9&lt;=9999),"OBEDECE",IF(AND(R9&gt;60,Q9&gt;=2000,Q9&lt;=4999),"OBEDECE",IF(AND(R9&gt;30,Q9&gt;=1000,Q9&lt;=1999),"OBEDECE",IF(AND(R9&lt;=29,Q9&lt;=1000),"OBEDECE","NÃO OBEDECE"))))))</f>
        <v>OBEDECE</v>
      </c>
      <c r="P9" s="3" t="s">
        <v>52</v>
      </c>
      <c r="Q9" s="4" t="n">
        <v>13447</v>
      </c>
      <c r="R9" s="4" t="n">
        <v>330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2</v>
      </c>
      <c r="AH9" s="14" t="n">
        <v>0</v>
      </c>
      <c r="AI9" s="14" t="n">
        <v>0</v>
      </c>
      <c r="AJ9" s="14" t="n">
        <v>0</v>
      </c>
      <c r="AK9" s="14" t="n">
        <v>2</v>
      </c>
      <c r="AL9" s="14" t="n">
        <v>0</v>
      </c>
      <c r="AM9" s="14" t="n">
        <v>0</v>
      </c>
    </row>
    <row r="10" customFormat="false" ht="15" hidden="false" customHeight="false" outlineLevel="0" collapsed="false">
      <c r="A10" s="11" t="s">
        <v>80</v>
      </c>
      <c r="B10" s="11" t="s">
        <v>40</v>
      </c>
      <c r="C10" s="11" t="s">
        <v>41</v>
      </c>
      <c r="D10" s="11" t="s">
        <v>42</v>
      </c>
      <c r="E10" s="11" t="s">
        <v>56</v>
      </c>
      <c r="F10" s="11" t="s">
        <v>57</v>
      </c>
      <c r="G10" s="12" t="s">
        <v>81</v>
      </c>
      <c r="H10" s="11" t="s">
        <v>46</v>
      </c>
      <c r="I10" s="11" t="s">
        <v>47</v>
      </c>
      <c r="J10" s="11" t="s">
        <v>47</v>
      </c>
      <c r="K10" s="11" t="s">
        <v>59</v>
      </c>
      <c r="L10" s="11" t="s">
        <v>77</v>
      </c>
      <c r="M10" s="11" t="s">
        <v>50</v>
      </c>
      <c r="N10" s="11" t="s">
        <v>51</v>
      </c>
      <c r="O10" s="13" t="str">
        <f aca="false">IF(AND(R10&gt;600,Q10&gt;20000),"OBEDECE",IF(AND(R10&gt;300,Q10&gt;=10000,Q10&lt;=20000),"OBEDECE",IF(AND(R10&gt;150,Q10&gt;=5000,Q10&lt;=9999),"OBEDECE",IF(AND(R10&gt;60,Q10&gt;=2000,Q10&lt;=4999),"OBEDECE",IF(AND(R10&gt;30,Q10&gt;=1000,Q10&lt;=1999),"OBEDECE",IF(AND(R10&lt;=29,Q10&lt;=1000),"OBEDECE","NÃO OBEDECE"))))))</f>
        <v>NÃO OBEDECE</v>
      </c>
      <c r="P10" s="3" t="s">
        <v>68</v>
      </c>
      <c r="Q10" s="4" t="n">
        <v>29206</v>
      </c>
      <c r="R10" s="4" t="n">
        <v>433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1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</row>
    <row r="11" customFormat="false" ht="15" hidden="false" customHeight="false" outlineLevel="0" collapsed="false">
      <c r="A11" s="11" t="s">
        <v>82</v>
      </c>
      <c r="B11" s="11" t="s">
        <v>40</v>
      </c>
      <c r="C11" s="11" t="s">
        <v>66</v>
      </c>
      <c r="D11" s="11" t="s">
        <v>42</v>
      </c>
      <c r="E11" s="11" t="s">
        <v>56</v>
      </c>
      <c r="F11" s="11" t="s">
        <v>57</v>
      </c>
      <c r="G11" s="12" t="s">
        <v>83</v>
      </c>
      <c r="H11" s="11" t="s">
        <v>46</v>
      </c>
      <c r="I11" s="11" t="s">
        <v>47</v>
      </c>
      <c r="J11" s="11" t="s">
        <v>47</v>
      </c>
      <c r="K11" s="11" t="s">
        <v>59</v>
      </c>
      <c r="L11" s="11" t="s">
        <v>77</v>
      </c>
      <c r="M11" s="11" t="s">
        <v>60</v>
      </c>
      <c r="N11" s="11" t="s">
        <v>71</v>
      </c>
      <c r="O11" s="13" t="str">
        <f aca="false">IF(AND(R11&gt;600,Q11&gt;20000),"OBEDECE",IF(AND(R11&gt;300,Q11&gt;=10000,Q11&lt;=20000),"OBEDECE",IF(AND(R11&gt;150,Q11&gt;=5000,Q11&lt;=9999),"OBEDECE",IF(AND(R11&gt;60,Q11&gt;=2000,Q11&lt;=4999),"OBEDECE",IF(AND(R11&gt;30,Q11&gt;=1000,Q11&lt;=1999),"OBEDECE",IF(AND(R11&lt;=29,Q11&lt;=1000),"OBEDECE","NÃO OBEDECE"))))))</f>
        <v>OBEDECE</v>
      </c>
      <c r="P11" s="3" t="s">
        <v>62</v>
      </c>
      <c r="Q11" s="4" t="n">
        <v>8380</v>
      </c>
      <c r="R11" s="4" t="n">
        <v>397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</row>
    <row r="12" customFormat="false" ht="15" hidden="false" customHeight="false" outlineLevel="0" collapsed="false">
      <c r="A12" s="11" t="s">
        <v>84</v>
      </c>
      <c r="B12" s="11" t="s">
        <v>40</v>
      </c>
      <c r="C12" s="11" t="s">
        <v>66</v>
      </c>
      <c r="D12" s="11" t="s">
        <v>42</v>
      </c>
      <c r="E12" s="11" t="s">
        <v>56</v>
      </c>
      <c r="F12" s="11" t="s">
        <v>57</v>
      </c>
      <c r="G12" s="12" t="s">
        <v>85</v>
      </c>
      <c r="H12" s="11" t="s">
        <v>46</v>
      </c>
      <c r="I12" s="11" t="s">
        <v>47</v>
      </c>
      <c r="J12" s="11" t="s">
        <v>47</v>
      </c>
      <c r="K12" s="11" t="s">
        <v>59</v>
      </c>
      <c r="L12" s="11" t="s">
        <v>74</v>
      </c>
      <c r="M12" s="11" t="s">
        <v>50</v>
      </c>
      <c r="N12" s="11" t="s">
        <v>51</v>
      </c>
      <c r="O12" s="13" t="str">
        <f aca="false">IF(AND(R12&gt;600,Q12&gt;20000),"OBEDECE",IF(AND(R12&gt;300,Q12&gt;=10000,Q12&lt;=20000),"OBEDECE",IF(AND(R12&gt;150,Q12&gt;=5000,Q12&lt;=9999),"OBEDECE",IF(AND(R12&gt;60,Q12&gt;=2000,Q12&lt;=4999),"OBEDECE",IF(AND(R12&gt;30,Q12&gt;=1000,Q12&lt;=1999),"OBEDECE",IF(AND(R12&lt;=29,Q12&lt;=1000),"OBEDECE","NÃO OBEDECE"))))))</f>
        <v>NÃO OBEDECE</v>
      </c>
      <c r="P12" s="3" t="s">
        <v>52</v>
      </c>
      <c r="Q12" s="4" t="n">
        <v>24648</v>
      </c>
      <c r="R12" s="4" t="n">
        <v>493</v>
      </c>
      <c r="S12" s="14" t="n">
        <v>0</v>
      </c>
      <c r="T12" s="14" t="n">
        <v>0</v>
      </c>
      <c r="U12" s="14" t="n">
        <v>0</v>
      </c>
      <c r="V12" s="14" t="n">
        <v>1</v>
      </c>
      <c r="W12" s="14" t="n">
        <v>0</v>
      </c>
      <c r="X12" s="14" t="n">
        <v>2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2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</row>
    <row r="13" customFormat="false" ht="15" hidden="false" customHeight="false" outlineLevel="0" collapsed="false">
      <c r="A13" s="11" t="s">
        <v>86</v>
      </c>
      <c r="B13" s="11" t="s">
        <v>54</v>
      </c>
      <c r="C13" s="11" t="s">
        <v>41</v>
      </c>
      <c r="D13" s="11" t="s">
        <v>55</v>
      </c>
      <c r="E13" s="11" t="s">
        <v>56</v>
      </c>
      <c r="F13" s="11" t="s">
        <v>57</v>
      </c>
      <c r="G13" s="12" t="s">
        <v>87</v>
      </c>
      <c r="H13" s="11" t="s">
        <v>46</v>
      </c>
      <c r="I13" s="11" t="s">
        <v>47</v>
      </c>
      <c r="J13" s="11" t="s">
        <v>47</v>
      </c>
      <c r="K13" s="11" t="s">
        <v>59</v>
      </c>
      <c r="L13" s="11" t="s">
        <v>49</v>
      </c>
      <c r="M13" s="11" t="s">
        <v>50</v>
      </c>
      <c r="N13" s="11" t="s">
        <v>61</v>
      </c>
      <c r="O13" s="13" t="str">
        <f aca="false">IF(AND(R13&gt;600,Q13&gt;20000),"OBEDECE",IF(AND(R13&gt;300,Q13&gt;=10000,Q13&lt;=20000),"OBEDECE",IF(AND(R13&gt;150,Q13&gt;=5000,Q13&lt;=9999),"OBEDECE",IF(AND(R13&gt;60,Q13&gt;=2000,Q13&lt;=4999),"OBEDECE",IF(AND(R13&gt;30,Q13&gt;=1000,Q13&lt;=1999),"OBEDECE",IF(AND(R13&lt;=29,Q13&lt;=1000),"OBEDECE","NÃO OBEDECE"))))))</f>
        <v>OBEDECE</v>
      </c>
      <c r="P13" s="3" t="s">
        <v>68</v>
      </c>
      <c r="Q13" s="4" t="n">
        <v>12256</v>
      </c>
      <c r="R13" s="4" t="n">
        <v>344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</row>
    <row r="14" customFormat="false" ht="15" hidden="false" customHeight="false" outlineLevel="0" collapsed="false">
      <c r="A14" s="11" t="s">
        <v>88</v>
      </c>
      <c r="B14" s="11" t="s">
        <v>54</v>
      </c>
      <c r="C14" s="11" t="s">
        <v>41</v>
      </c>
      <c r="D14" s="11" t="s">
        <v>55</v>
      </c>
      <c r="E14" s="11" t="s">
        <v>56</v>
      </c>
      <c r="F14" s="11" t="s">
        <v>57</v>
      </c>
      <c r="G14" s="12" t="s">
        <v>58</v>
      </c>
      <c r="H14" s="11" t="s">
        <v>46</v>
      </c>
      <c r="I14" s="11" t="s">
        <v>47</v>
      </c>
      <c r="J14" s="11" t="s">
        <v>47</v>
      </c>
      <c r="K14" s="11" t="s">
        <v>59</v>
      </c>
      <c r="L14" s="11" t="s">
        <v>77</v>
      </c>
      <c r="M14" s="11" t="s">
        <v>60</v>
      </c>
      <c r="N14" s="11" t="s">
        <v>71</v>
      </c>
      <c r="O14" s="13" t="str">
        <f aca="false">IF(AND(R14&gt;600,Q14&gt;20000),"OBEDECE",IF(AND(R14&gt;300,Q14&gt;=10000,Q14&lt;=20000),"OBEDECE",IF(AND(R14&gt;150,Q14&gt;=5000,Q14&lt;=9999),"OBEDECE",IF(AND(R14&gt;60,Q14&gt;=2000,Q14&lt;=4999),"OBEDECE",IF(AND(R14&gt;30,Q14&gt;=1000,Q14&lt;=1999),"OBEDECE",IF(AND(R14&lt;=29,Q14&lt;=1000),"OBEDECE","NÃO OBEDECE"))))))</f>
        <v>OBEDECE</v>
      </c>
      <c r="P14" s="3" t="s">
        <v>62</v>
      </c>
      <c r="Q14" s="4" t="n">
        <v>8166</v>
      </c>
      <c r="R14" s="4" t="n">
        <v>364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</row>
    <row r="15" customFormat="false" ht="15" hidden="false" customHeight="false" outlineLevel="0" collapsed="false">
      <c r="A15" s="11" t="s">
        <v>89</v>
      </c>
      <c r="B15" s="11" t="s">
        <v>40</v>
      </c>
      <c r="C15" s="11" t="s">
        <v>41</v>
      </c>
      <c r="D15" s="11" t="s">
        <v>42</v>
      </c>
      <c r="E15" s="11" t="s">
        <v>56</v>
      </c>
      <c r="F15" s="11" t="s">
        <v>57</v>
      </c>
      <c r="G15" s="12" t="s">
        <v>90</v>
      </c>
      <c r="H15" s="11" t="s">
        <v>46</v>
      </c>
      <c r="I15" s="11" t="s">
        <v>47</v>
      </c>
      <c r="J15" s="11" t="s">
        <v>47</v>
      </c>
      <c r="K15" s="11" t="s">
        <v>59</v>
      </c>
      <c r="L15" s="11" t="s">
        <v>77</v>
      </c>
      <c r="M15" s="11" t="s">
        <v>50</v>
      </c>
      <c r="N15" s="11" t="s">
        <v>71</v>
      </c>
      <c r="O15" s="13" t="str">
        <f aca="false">IF(AND(R15&gt;600,Q15&gt;20000),"OBEDECE",IF(AND(R15&gt;300,Q15&gt;=10000,Q15&lt;=20000),"OBEDECE",IF(AND(R15&gt;150,Q15&gt;=5000,Q15&lt;=9999),"OBEDECE",IF(AND(R15&gt;60,Q15&gt;=2000,Q15&lt;=4999),"OBEDECE",IF(AND(R15&gt;30,Q15&gt;=1000,Q15&lt;=1999),"OBEDECE",IF(AND(R15&lt;=29,Q15&lt;=1000),"OBEDECE","NÃO OBEDECE"))))))</f>
        <v>OBEDECE</v>
      </c>
      <c r="P15" s="3" t="s">
        <v>68</v>
      </c>
      <c r="Q15" s="4" t="n">
        <v>8946</v>
      </c>
      <c r="R15" s="4" t="n">
        <v>437</v>
      </c>
      <c r="S15" s="14" t="n">
        <v>1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</row>
    <row r="16" customFormat="false" ht="15" hidden="false" customHeight="false" outlineLevel="0" collapsed="false">
      <c r="A16" s="11" t="s">
        <v>91</v>
      </c>
      <c r="B16" s="11" t="s">
        <v>40</v>
      </c>
      <c r="C16" s="11" t="s">
        <v>66</v>
      </c>
      <c r="D16" s="11" t="s">
        <v>42</v>
      </c>
      <c r="E16" s="11" t="s">
        <v>56</v>
      </c>
      <c r="F16" s="11" t="s">
        <v>57</v>
      </c>
      <c r="G16" s="12" t="s">
        <v>92</v>
      </c>
      <c r="H16" s="11" t="s">
        <v>46</v>
      </c>
      <c r="I16" s="11" t="s">
        <v>47</v>
      </c>
      <c r="J16" s="11" t="s">
        <v>47</v>
      </c>
      <c r="K16" s="11" t="s">
        <v>59</v>
      </c>
      <c r="L16" s="11" t="s">
        <v>77</v>
      </c>
      <c r="M16" s="11" t="s">
        <v>50</v>
      </c>
      <c r="N16" s="11" t="s">
        <v>61</v>
      </c>
      <c r="O16" s="13" t="str">
        <f aca="false">IF(AND(R16&gt;600,Q16&gt;20000),"OBEDECE",IF(AND(R16&gt;300,Q16&gt;=10000,Q16&lt;=20000),"OBEDECE",IF(AND(R16&gt;150,Q16&gt;=5000,Q16&lt;=9999),"OBEDECE",IF(AND(R16&gt;60,Q16&gt;=2000,Q16&lt;=4999),"OBEDECE",IF(AND(R16&gt;30,Q16&gt;=1000,Q16&lt;=1999),"OBEDECE",IF(AND(R16&lt;=29,Q16&lt;=1000),"OBEDECE","NÃO OBEDECE"))))))</f>
        <v>NÃO OBEDECE</v>
      </c>
      <c r="P16" s="3" t="s">
        <v>68</v>
      </c>
      <c r="Q16" s="4" t="n">
        <v>10901</v>
      </c>
      <c r="R16" s="4" t="n">
        <v>244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1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</row>
    <row r="17" customFormat="false" ht="15" hidden="false" customHeight="false" outlineLevel="0" collapsed="false">
      <c r="A17" s="11" t="s">
        <v>93</v>
      </c>
      <c r="B17" s="11" t="s">
        <v>40</v>
      </c>
      <c r="C17" s="11" t="s">
        <v>41</v>
      </c>
      <c r="D17" s="11" t="s">
        <v>42</v>
      </c>
      <c r="E17" s="11" t="s">
        <v>56</v>
      </c>
      <c r="F17" s="11" t="s">
        <v>57</v>
      </c>
      <c r="G17" s="12" t="s">
        <v>87</v>
      </c>
      <c r="H17" s="11" t="s">
        <v>46</v>
      </c>
      <c r="I17" s="11" t="s">
        <v>47</v>
      </c>
      <c r="J17" s="11" t="s">
        <v>47</v>
      </c>
      <c r="K17" s="11" t="s">
        <v>59</v>
      </c>
      <c r="L17" s="11" t="s">
        <v>74</v>
      </c>
      <c r="M17" s="11" t="s">
        <v>50</v>
      </c>
      <c r="N17" s="11" t="s">
        <v>51</v>
      </c>
      <c r="O17" s="13" t="str">
        <f aca="false">IF(AND(R17&gt;600,Q17&gt;20000),"OBEDECE",IF(AND(R17&gt;300,Q17&gt;=10000,Q17&lt;=20000),"OBEDECE",IF(AND(R17&gt;150,Q17&gt;=5000,Q17&lt;=9999),"OBEDECE",IF(AND(R17&gt;60,Q17&gt;=2000,Q17&lt;=4999),"OBEDECE",IF(AND(R17&gt;30,Q17&gt;=1000,Q17&lt;=1999),"OBEDECE",IF(AND(R17&lt;=29,Q17&lt;=1000),"OBEDECE","NÃO OBEDECE"))))))</f>
        <v>NÃO OBEDECE</v>
      </c>
      <c r="P17" s="3" t="s">
        <v>52</v>
      </c>
      <c r="Q17" s="4" t="n">
        <v>25945</v>
      </c>
      <c r="R17" s="4" t="n">
        <v>379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1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2</v>
      </c>
      <c r="AL17" s="14" t="n">
        <v>0</v>
      </c>
      <c r="AM17" s="14" t="n">
        <v>0</v>
      </c>
    </row>
    <row r="18" customFormat="false" ht="15" hidden="false" customHeight="false" outlineLevel="0" collapsed="false">
      <c r="A18" s="11" t="s">
        <v>94</v>
      </c>
      <c r="B18" s="11" t="s">
        <v>54</v>
      </c>
      <c r="C18" s="11" t="s">
        <v>41</v>
      </c>
      <c r="D18" s="11" t="s">
        <v>55</v>
      </c>
      <c r="E18" s="11" t="s">
        <v>56</v>
      </c>
      <c r="F18" s="11" t="s">
        <v>57</v>
      </c>
      <c r="G18" s="15" t="s">
        <v>95</v>
      </c>
      <c r="H18" s="11" t="s">
        <v>46</v>
      </c>
      <c r="I18" s="11" t="s">
        <v>47</v>
      </c>
      <c r="J18" s="11" t="s">
        <v>47</v>
      </c>
      <c r="K18" s="11" t="s">
        <v>59</v>
      </c>
      <c r="L18" s="11" t="s">
        <v>74</v>
      </c>
      <c r="M18" s="11" t="s">
        <v>60</v>
      </c>
      <c r="N18" s="11" t="s">
        <v>61</v>
      </c>
      <c r="O18" s="13" t="str">
        <f aca="false">IF(AND(R18&gt;600,Q18&gt;20000),"OBEDECE",IF(AND(R18&gt;300,Q18&gt;=10000,Q18&lt;=20000),"OBEDECE",IF(AND(R18&gt;150,Q18&gt;=5000,Q18&lt;=9999),"OBEDECE",IF(AND(R18&gt;60,Q18&gt;=2000,Q18&lt;=4999),"OBEDECE",IF(AND(R18&gt;30,Q18&gt;=1000,Q18&lt;=1999),"OBEDECE",IF(AND(R18&lt;=29,Q18&lt;=1000),"OBEDECE","NÃO OBEDECE"))))))</f>
        <v>OBEDECE</v>
      </c>
      <c r="P18" s="3" t="s">
        <v>62</v>
      </c>
      <c r="Q18" s="4" t="n">
        <v>19529</v>
      </c>
      <c r="R18" s="4" t="n">
        <v>392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</row>
    <row r="19" customFormat="false" ht="15" hidden="false" customHeight="false" outlineLevel="0" collapsed="false">
      <c r="A19" s="11" t="s">
        <v>96</v>
      </c>
      <c r="B19" s="11" t="s">
        <v>40</v>
      </c>
      <c r="C19" s="11" t="s">
        <v>66</v>
      </c>
      <c r="D19" s="11" t="s">
        <v>42</v>
      </c>
      <c r="E19" s="11" t="s">
        <v>56</v>
      </c>
      <c r="F19" s="11" t="s">
        <v>57</v>
      </c>
      <c r="G19" s="12" t="s">
        <v>97</v>
      </c>
      <c r="H19" s="11" t="s">
        <v>46</v>
      </c>
      <c r="I19" s="11" t="s">
        <v>47</v>
      </c>
      <c r="J19" s="11" t="s">
        <v>47</v>
      </c>
      <c r="K19" s="11" t="s">
        <v>59</v>
      </c>
      <c r="L19" s="11" t="s">
        <v>74</v>
      </c>
      <c r="M19" s="11" t="s">
        <v>50</v>
      </c>
      <c r="N19" s="11" t="s">
        <v>51</v>
      </c>
      <c r="O19" s="13" t="str">
        <f aca="false">IF(AND(R19&gt;600,Q19&gt;20000),"OBEDECE",IF(AND(R19&gt;300,Q19&gt;=10000,Q19&lt;=20000),"OBEDECE",IF(AND(R19&gt;150,Q19&gt;=5000,Q19&lt;=9999),"OBEDECE",IF(AND(R19&gt;60,Q19&gt;=2000,Q19&lt;=4999),"OBEDECE",IF(AND(R19&gt;30,Q19&gt;=1000,Q19&lt;=1999),"OBEDECE",IF(AND(R19&lt;=29,Q19&lt;=1000),"OBEDECE","NÃO OBEDECE"))))))</f>
        <v>NÃO OBEDECE</v>
      </c>
      <c r="P19" s="3" t="s">
        <v>68</v>
      </c>
      <c r="Q19" s="4" t="n">
        <v>22041</v>
      </c>
      <c r="R19" s="4" t="n">
        <v>322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1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</row>
    <row r="20" customFormat="false" ht="15" hidden="false" customHeight="false" outlineLevel="0" collapsed="false">
      <c r="A20" s="11" t="s">
        <v>98</v>
      </c>
      <c r="B20" s="11" t="s">
        <v>40</v>
      </c>
      <c r="C20" s="11" t="s">
        <v>66</v>
      </c>
      <c r="D20" s="11" t="s">
        <v>42</v>
      </c>
      <c r="E20" s="11" t="s">
        <v>56</v>
      </c>
      <c r="F20" s="11" t="s">
        <v>57</v>
      </c>
      <c r="G20" s="12" t="s">
        <v>99</v>
      </c>
      <c r="H20" s="11" t="s">
        <v>46</v>
      </c>
      <c r="I20" s="11" t="s">
        <v>47</v>
      </c>
      <c r="J20" s="11" t="s">
        <v>47</v>
      </c>
      <c r="K20" s="11" t="s">
        <v>59</v>
      </c>
      <c r="L20" s="11" t="s">
        <v>74</v>
      </c>
      <c r="M20" s="11" t="s">
        <v>60</v>
      </c>
      <c r="N20" s="11" t="s">
        <v>51</v>
      </c>
      <c r="O20" s="13" t="str">
        <f aca="false">IF(AND(R20&gt;600,Q20&gt;20000),"OBEDECE",IF(AND(R20&gt;300,Q20&gt;=10000,Q20&lt;=20000),"OBEDECE",IF(AND(R20&gt;150,Q20&gt;=5000,Q20&lt;=9999),"OBEDECE",IF(AND(R20&gt;60,Q20&gt;=2000,Q20&lt;=4999),"OBEDECE",IF(AND(R20&gt;30,Q20&gt;=1000,Q20&lt;=1999),"OBEDECE",IF(AND(R20&lt;=29,Q20&lt;=1000),"OBEDECE","NÃO OBEDECE"))))))</f>
        <v>NÃO OBEDECE</v>
      </c>
      <c r="P20" s="3" t="s">
        <v>62</v>
      </c>
      <c r="Q20" s="4" t="n">
        <v>22708</v>
      </c>
      <c r="R20" s="4" t="n">
        <v>354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</row>
    <row r="21" customFormat="false" ht="15" hidden="false" customHeight="false" outlineLevel="0" collapsed="false">
      <c r="A21" s="11" t="s">
        <v>100</v>
      </c>
      <c r="B21" s="11" t="s">
        <v>54</v>
      </c>
      <c r="C21" s="11" t="s">
        <v>41</v>
      </c>
      <c r="D21" s="11" t="s">
        <v>55</v>
      </c>
      <c r="E21" s="11" t="s">
        <v>56</v>
      </c>
      <c r="F21" s="11" t="s">
        <v>57</v>
      </c>
      <c r="G21" s="15" t="s">
        <v>101</v>
      </c>
      <c r="H21" s="11" t="s">
        <v>46</v>
      </c>
      <c r="I21" s="11" t="s">
        <v>47</v>
      </c>
      <c r="J21" s="11" t="s">
        <v>47</v>
      </c>
      <c r="K21" s="11" t="s">
        <v>59</v>
      </c>
      <c r="L21" s="11" t="s">
        <v>74</v>
      </c>
      <c r="M21" s="11" t="s">
        <v>50</v>
      </c>
      <c r="N21" s="11" t="s">
        <v>51</v>
      </c>
      <c r="O21" s="13" t="str">
        <f aca="false">IF(AND(R21&gt;600,Q21&gt;20000),"OBEDECE",IF(AND(R21&gt;300,Q21&gt;=10000,Q21&lt;=20000),"OBEDECE",IF(AND(R21&gt;150,Q21&gt;=5000,Q21&lt;=9999),"OBEDECE",IF(AND(R21&gt;60,Q21&gt;=2000,Q21&lt;=4999),"OBEDECE",IF(AND(R21&gt;30,Q21&gt;=1000,Q21&lt;=1999),"OBEDECE",IF(AND(R21&lt;=29,Q21&lt;=1000),"OBEDECE","NÃO OBEDECE"))))))</f>
        <v>NÃO OBEDECE</v>
      </c>
      <c r="P21" s="3" t="s">
        <v>52</v>
      </c>
      <c r="Q21" s="4" t="n">
        <v>21993</v>
      </c>
      <c r="R21" s="4" t="n">
        <v>231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2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</v>
      </c>
      <c r="AL21" s="14" t="n">
        <v>0</v>
      </c>
      <c r="AM21" s="14" t="n">
        <v>0</v>
      </c>
    </row>
    <row r="22" customFormat="false" ht="15" hidden="false" customHeight="false" outlineLevel="0" collapsed="false">
      <c r="A22" s="11" t="s">
        <v>102</v>
      </c>
      <c r="B22" s="11" t="s">
        <v>54</v>
      </c>
      <c r="C22" s="11" t="s">
        <v>66</v>
      </c>
      <c r="D22" s="11" t="s">
        <v>55</v>
      </c>
      <c r="E22" s="11" t="s">
        <v>56</v>
      </c>
      <c r="F22" s="11" t="s">
        <v>57</v>
      </c>
      <c r="G22" s="12" t="s">
        <v>103</v>
      </c>
      <c r="H22" s="11" t="s">
        <v>46</v>
      </c>
      <c r="I22" s="11" t="s">
        <v>47</v>
      </c>
      <c r="J22" s="11" t="s">
        <v>47</v>
      </c>
      <c r="K22" s="11" t="s">
        <v>59</v>
      </c>
      <c r="L22" s="11" t="s">
        <v>74</v>
      </c>
      <c r="M22" s="11" t="s">
        <v>60</v>
      </c>
      <c r="N22" s="11" t="s">
        <v>61</v>
      </c>
      <c r="O22" s="13" t="str">
        <f aca="false">IF(AND(R22&gt;600,Q22&gt;20000),"OBEDECE",IF(AND(R22&gt;300,Q22&gt;=10000,Q22&lt;=20000),"OBEDECE",IF(AND(R22&gt;150,Q22&gt;=5000,Q22&lt;=9999),"OBEDECE",IF(AND(R22&gt;60,Q22&gt;=2000,Q22&lt;=4999),"OBEDECE",IF(AND(R22&gt;30,Q22&gt;=1000,Q22&lt;=1999),"OBEDECE",IF(AND(R22&lt;=29,Q22&lt;=1000),"OBEDECE","NÃO OBEDECE"))))))</f>
        <v>OBEDECE</v>
      </c>
      <c r="P22" s="3" t="s">
        <v>68</v>
      </c>
      <c r="Q22" s="4" t="n">
        <v>18459</v>
      </c>
      <c r="R22" s="4" t="n">
        <v>307</v>
      </c>
      <c r="S22" s="14" t="n">
        <v>0</v>
      </c>
      <c r="T22" s="14" t="n">
        <v>0</v>
      </c>
      <c r="U22" s="14" t="n">
        <v>0</v>
      </c>
      <c r="V22" s="14" t="n">
        <v>1</v>
      </c>
      <c r="W22" s="14" t="n">
        <v>0</v>
      </c>
      <c r="X22" s="14" t="n">
        <v>0</v>
      </c>
      <c r="Y22" s="14" t="n">
        <v>2</v>
      </c>
      <c r="Z22" s="14" t="n">
        <v>0</v>
      </c>
      <c r="AA22" s="14" t="n">
        <v>0</v>
      </c>
      <c r="AB22" s="14" t="n">
        <v>0</v>
      </c>
      <c r="AC22" s="14" t="n">
        <v>1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</row>
    <row r="23" customFormat="false" ht="15" hidden="false" customHeight="false" outlineLevel="0" collapsed="false">
      <c r="A23" s="11" t="s">
        <v>104</v>
      </c>
      <c r="B23" s="11" t="s">
        <v>40</v>
      </c>
      <c r="C23" s="11" t="s">
        <v>66</v>
      </c>
      <c r="D23" s="11" t="s">
        <v>42</v>
      </c>
      <c r="E23" s="11" t="s">
        <v>56</v>
      </c>
      <c r="F23" s="11" t="s">
        <v>57</v>
      </c>
      <c r="G23" s="12" t="s">
        <v>67</v>
      </c>
      <c r="H23" s="11" t="s">
        <v>46</v>
      </c>
      <c r="I23" s="11" t="s">
        <v>47</v>
      </c>
      <c r="J23" s="11" t="s">
        <v>47</v>
      </c>
      <c r="K23" s="11" t="s">
        <v>59</v>
      </c>
      <c r="L23" s="11" t="s">
        <v>74</v>
      </c>
      <c r="M23" s="11" t="s">
        <v>60</v>
      </c>
      <c r="N23" s="11" t="s">
        <v>51</v>
      </c>
      <c r="O23" s="13" t="str">
        <f aca="false">IF(AND(R23&gt;600,Q23&gt;20000),"OBEDECE",IF(AND(R23&gt;300,Q23&gt;=10000,Q23&lt;=20000),"OBEDECE",IF(AND(R23&gt;150,Q23&gt;=5000,Q23&lt;=9999),"OBEDECE",IF(AND(R23&gt;60,Q23&gt;=2000,Q23&lt;=4999),"OBEDECE",IF(AND(R23&gt;30,Q23&gt;=1000,Q23&lt;=1999),"OBEDECE",IF(AND(R23&lt;=29,Q23&lt;=1000),"OBEDECE","NÃO OBEDECE"))))))</f>
        <v>NÃO OBEDECE</v>
      </c>
      <c r="P23" s="3" t="s">
        <v>52</v>
      </c>
      <c r="Q23" s="4" t="n">
        <v>32157</v>
      </c>
      <c r="R23" s="4" t="n">
        <v>240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2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1</v>
      </c>
      <c r="AH23" s="14" t="n">
        <v>1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</row>
    <row r="24" customFormat="false" ht="15" hidden="false" customHeight="false" outlineLevel="0" collapsed="false">
      <c r="A24" s="11" t="s">
        <v>105</v>
      </c>
      <c r="B24" s="11" t="s">
        <v>40</v>
      </c>
      <c r="C24" s="11" t="s">
        <v>66</v>
      </c>
      <c r="D24" s="11" t="s">
        <v>42</v>
      </c>
      <c r="E24" s="11" t="s">
        <v>56</v>
      </c>
      <c r="F24" s="11" t="s">
        <v>57</v>
      </c>
      <c r="G24" s="12" t="s">
        <v>106</v>
      </c>
      <c r="H24" s="11" t="s">
        <v>46</v>
      </c>
      <c r="I24" s="11" t="s">
        <v>47</v>
      </c>
      <c r="J24" s="11" t="s">
        <v>47</v>
      </c>
      <c r="K24" s="11" t="s">
        <v>59</v>
      </c>
      <c r="L24" s="11" t="s">
        <v>74</v>
      </c>
      <c r="M24" s="11" t="s">
        <v>60</v>
      </c>
      <c r="N24" s="11" t="s">
        <v>51</v>
      </c>
      <c r="O24" s="13" t="str">
        <f aca="false">IF(AND(R24&gt;600,Q24&gt;20000),"OBEDECE",IF(AND(R24&gt;300,Q24&gt;=10000,Q24&lt;=20000),"OBEDECE",IF(AND(R24&gt;150,Q24&gt;=5000,Q24&lt;=9999),"OBEDECE",IF(AND(R24&gt;60,Q24&gt;=2000,Q24&lt;=4999),"OBEDECE",IF(AND(R24&gt;30,Q24&gt;=1000,Q24&lt;=1999),"OBEDECE",IF(AND(R24&lt;=29,Q24&lt;=1000),"OBEDECE","NÃO OBEDECE"))))))</f>
        <v>NÃO OBEDECE</v>
      </c>
      <c r="P24" s="3" t="s">
        <v>52</v>
      </c>
      <c r="Q24" s="4" t="n">
        <v>24004</v>
      </c>
      <c r="R24" s="4" t="n">
        <v>457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3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5</v>
      </c>
      <c r="AL24" s="14" t="n">
        <v>0</v>
      </c>
      <c r="AM24" s="14" t="n">
        <v>0</v>
      </c>
    </row>
    <row r="25" customFormat="false" ht="15" hidden="false" customHeight="false" outlineLevel="0" collapsed="false">
      <c r="A25" s="11" t="s">
        <v>107</v>
      </c>
      <c r="B25" s="11" t="s">
        <v>40</v>
      </c>
      <c r="C25" s="11" t="s">
        <v>66</v>
      </c>
      <c r="D25" s="11" t="s">
        <v>42</v>
      </c>
      <c r="E25" s="11" t="s">
        <v>56</v>
      </c>
      <c r="F25" s="11" t="s">
        <v>57</v>
      </c>
      <c r="G25" s="12" t="s">
        <v>108</v>
      </c>
      <c r="H25" s="11" t="s">
        <v>46</v>
      </c>
      <c r="I25" s="11" t="s">
        <v>47</v>
      </c>
      <c r="J25" s="11" t="s">
        <v>47</v>
      </c>
      <c r="K25" s="11" t="s">
        <v>59</v>
      </c>
      <c r="L25" s="11" t="s">
        <v>74</v>
      </c>
      <c r="M25" s="11" t="s">
        <v>50</v>
      </c>
      <c r="N25" s="11" t="s">
        <v>51</v>
      </c>
      <c r="O25" s="13" t="str">
        <f aca="false">IF(AND(R25&gt;600,Q25&gt;20000),"OBEDECE",IF(AND(R25&gt;300,Q25&gt;=10000,Q25&lt;=20000),"OBEDECE",IF(AND(R25&gt;150,Q25&gt;=5000,Q25&lt;=9999),"OBEDECE",IF(AND(R25&gt;60,Q25&gt;=2000,Q25&lt;=4999),"OBEDECE",IF(AND(R25&gt;30,Q25&gt;=1000,Q25&lt;=1999),"OBEDECE",IF(AND(R25&lt;=29,Q25&lt;=1000),"OBEDECE","NÃO OBEDECE"))))))</f>
        <v>NÃO OBEDECE</v>
      </c>
      <c r="P25" s="3" t="s">
        <v>52</v>
      </c>
      <c r="Q25" s="4" t="n">
        <v>32157</v>
      </c>
      <c r="R25" s="4" t="n">
        <v>334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1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1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1</v>
      </c>
      <c r="AL25" s="14" t="n">
        <v>0</v>
      </c>
      <c r="AM25" s="14" t="n">
        <v>0</v>
      </c>
    </row>
    <row r="26" customFormat="false" ht="15" hidden="false" customHeight="false" outlineLevel="0" collapsed="false">
      <c r="A26" s="11" t="s">
        <v>109</v>
      </c>
      <c r="B26" s="11" t="s">
        <v>40</v>
      </c>
      <c r="C26" s="11" t="s">
        <v>66</v>
      </c>
      <c r="D26" s="11" t="s">
        <v>42</v>
      </c>
      <c r="E26" s="11" t="s">
        <v>56</v>
      </c>
      <c r="F26" s="11" t="s">
        <v>57</v>
      </c>
      <c r="G26" s="12" t="s">
        <v>110</v>
      </c>
      <c r="H26" s="11" t="s">
        <v>46</v>
      </c>
      <c r="I26" s="11" t="s">
        <v>47</v>
      </c>
      <c r="J26" s="11" t="s">
        <v>47</v>
      </c>
      <c r="K26" s="11" t="s">
        <v>48</v>
      </c>
      <c r="L26" s="11" t="s">
        <v>49</v>
      </c>
      <c r="M26" s="11" t="s">
        <v>60</v>
      </c>
      <c r="N26" s="11" t="s">
        <v>71</v>
      </c>
      <c r="O26" s="13" t="str">
        <f aca="false">IF(AND(R26&gt;600,Q26&gt;20000),"OBEDECE",IF(AND(R26&gt;300,Q26&gt;=10000,Q26&lt;=20000),"OBEDECE",IF(AND(R26&gt;150,Q26&gt;=5000,Q26&lt;=9999),"OBEDECE",IF(AND(R26&gt;60,Q26&gt;=2000,Q26&lt;=4999),"OBEDECE",IF(AND(R26&gt;30,Q26&gt;=1000,Q26&lt;=1999),"OBEDECE",IF(AND(R26&lt;=29,Q26&lt;=1000),"OBEDECE","NÃO OBEDECE"))))))</f>
        <v>NÃO OBEDECE</v>
      </c>
      <c r="P26" s="3" t="s">
        <v>68</v>
      </c>
      <c r="Q26" s="4" t="n">
        <v>7320</v>
      </c>
      <c r="R26" s="4" t="n">
        <v>116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</row>
    <row r="27" customFormat="false" ht="15" hidden="false" customHeight="false" outlineLevel="0" collapsed="false">
      <c r="A27" s="11" t="s">
        <v>111</v>
      </c>
      <c r="B27" s="11" t="s">
        <v>54</v>
      </c>
      <c r="C27" s="11" t="s">
        <v>66</v>
      </c>
      <c r="D27" s="11" t="s">
        <v>55</v>
      </c>
      <c r="E27" s="11" t="s">
        <v>56</v>
      </c>
      <c r="F27" s="11" t="s">
        <v>57</v>
      </c>
      <c r="G27" s="12" t="s">
        <v>112</v>
      </c>
      <c r="H27" s="11" t="s">
        <v>46</v>
      </c>
      <c r="I27" s="11" t="s">
        <v>47</v>
      </c>
      <c r="J27" s="11" t="s">
        <v>47</v>
      </c>
      <c r="K27" s="11" t="s">
        <v>48</v>
      </c>
      <c r="L27" s="11" t="s">
        <v>49</v>
      </c>
      <c r="M27" s="11" t="s">
        <v>60</v>
      </c>
      <c r="N27" s="11" t="s">
        <v>71</v>
      </c>
      <c r="O27" s="13" t="str">
        <f aca="false">IF(AND(R27&gt;600,Q27&gt;20000),"OBEDECE",IF(AND(R27&gt;300,Q27&gt;=10000,Q27&lt;=20000),"OBEDECE",IF(AND(R27&gt;150,Q27&gt;=5000,Q27&lt;=9999),"OBEDECE",IF(AND(R27&gt;60,Q27&gt;=2000,Q27&lt;=4999),"OBEDECE",IF(AND(R27&gt;30,Q27&gt;=1000,Q27&lt;=1999),"OBEDECE",IF(AND(R27&lt;=29,Q27&lt;=1000),"OBEDECE","NÃO OBEDECE"))))))</f>
        <v>NÃO OBEDECE</v>
      </c>
      <c r="P27" s="3" t="s">
        <v>62</v>
      </c>
      <c r="Q27" s="4" t="n">
        <v>8753</v>
      </c>
      <c r="R27" s="4" t="n">
        <v>134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</row>
    <row r="28" customFormat="false" ht="15" hidden="false" customHeight="false" outlineLevel="0" collapsed="false">
      <c r="A28" s="11" t="s">
        <v>113</v>
      </c>
      <c r="B28" s="11" t="s">
        <v>54</v>
      </c>
      <c r="C28" s="11" t="s">
        <v>41</v>
      </c>
      <c r="D28" s="11" t="s">
        <v>42</v>
      </c>
      <c r="E28" s="11" t="s">
        <v>56</v>
      </c>
      <c r="F28" s="11" t="s">
        <v>57</v>
      </c>
      <c r="G28" s="12" t="s">
        <v>114</v>
      </c>
      <c r="H28" s="11" t="s">
        <v>46</v>
      </c>
      <c r="I28" s="11" t="s">
        <v>47</v>
      </c>
      <c r="J28" s="11" t="s">
        <v>47</v>
      </c>
      <c r="K28" s="11" t="s">
        <v>48</v>
      </c>
      <c r="L28" s="11" t="s">
        <v>49</v>
      </c>
      <c r="M28" s="11" t="s">
        <v>50</v>
      </c>
      <c r="N28" s="11" t="s">
        <v>71</v>
      </c>
      <c r="O28" s="13" t="str">
        <f aca="false">IF(AND(R28&gt;600,Q28&gt;20000),"OBEDECE",IF(AND(R28&gt;300,Q28&gt;=10000,Q28&lt;=20000),"OBEDECE",IF(AND(R28&gt;150,Q28&gt;=5000,Q28&lt;=9999),"OBEDECE",IF(AND(R28&gt;60,Q28&gt;=2000,Q28&lt;=4999),"OBEDECE",IF(AND(R28&gt;30,Q28&gt;=1000,Q28&lt;=1999),"OBEDECE",IF(AND(R28&lt;=29,Q28&lt;=1000),"OBEDECE","NÃO OBEDECE"))))))</f>
        <v>NÃO OBEDECE</v>
      </c>
      <c r="P28" s="3" t="s">
        <v>62</v>
      </c>
      <c r="Q28" s="4" t="n">
        <v>7131</v>
      </c>
      <c r="R28" s="4" t="n">
        <v>138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</row>
    <row r="29" customFormat="false" ht="15" hidden="false" customHeight="false" outlineLevel="0" collapsed="false">
      <c r="A29" s="11" t="s">
        <v>115</v>
      </c>
      <c r="B29" s="11" t="s">
        <v>40</v>
      </c>
      <c r="C29" s="11" t="s">
        <v>66</v>
      </c>
      <c r="D29" s="11" t="s">
        <v>42</v>
      </c>
      <c r="E29" s="11" t="s">
        <v>56</v>
      </c>
      <c r="F29" s="11" t="s">
        <v>57</v>
      </c>
      <c r="G29" s="12" t="s">
        <v>116</v>
      </c>
      <c r="H29" s="11" t="s">
        <v>46</v>
      </c>
      <c r="I29" s="11" t="s">
        <v>47</v>
      </c>
      <c r="J29" s="11" t="s">
        <v>47</v>
      </c>
      <c r="K29" s="11" t="s">
        <v>48</v>
      </c>
      <c r="L29" s="11" t="s">
        <v>49</v>
      </c>
      <c r="M29" s="11" t="s">
        <v>60</v>
      </c>
      <c r="N29" s="11" t="s">
        <v>71</v>
      </c>
      <c r="O29" s="13" t="str">
        <f aca="false">IF(AND(R29&gt;600,Q29&gt;20000),"OBEDECE",IF(AND(R29&gt;300,Q29&gt;=10000,Q29&lt;=20000),"OBEDECE",IF(AND(R29&gt;150,Q29&gt;=5000,Q29&lt;=9999),"OBEDECE",IF(AND(R29&gt;60,Q29&gt;=2000,Q29&lt;=4999),"OBEDECE",IF(AND(R29&gt;30,Q29&gt;=1000,Q29&lt;=1999),"OBEDECE",IF(AND(R29&lt;=29,Q29&lt;=1000),"OBEDECE","NÃO OBEDECE"))))))</f>
        <v>NÃO OBEDECE</v>
      </c>
      <c r="P29" s="3" t="s">
        <v>62</v>
      </c>
      <c r="Q29" s="4" t="n">
        <v>9714</v>
      </c>
      <c r="R29" s="4" t="n">
        <v>84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</row>
    <row r="30" customFormat="false" ht="15" hidden="false" customHeight="false" outlineLevel="0" collapsed="false">
      <c r="A30" s="10" t="s">
        <v>117</v>
      </c>
      <c r="B30" s="11" t="s">
        <v>40</v>
      </c>
      <c r="C30" s="11" t="s">
        <v>41</v>
      </c>
      <c r="D30" s="11" t="s">
        <v>42</v>
      </c>
      <c r="E30" s="11" t="s">
        <v>118</v>
      </c>
      <c r="F30" s="11" t="s">
        <v>57</v>
      </c>
      <c r="G30" s="12" t="s">
        <v>64</v>
      </c>
      <c r="H30" s="11" t="s">
        <v>46</v>
      </c>
      <c r="I30" s="11" t="s">
        <v>46</v>
      </c>
      <c r="J30" s="11" t="s">
        <v>46</v>
      </c>
      <c r="K30" s="11" t="s">
        <v>48</v>
      </c>
      <c r="L30" s="11" t="s">
        <v>49</v>
      </c>
      <c r="M30" s="11" t="s">
        <v>50</v>
      </c>
      <c r="N30" s="11" t="s">
        <v>51</v>
      </c>
      <c r="O30" s="13" t="str">
        <f aca="false">IF(AND(R30&gt;600,Q30&gt;20000),"OBEDECE",IF(AND(R30&gt;300,Q30&gt;=10000,Q30&lt;=20000),"OBEDECE",IF(AND(R30&gt;150,Q30&gt;=5000,Q30&lt;=9999),"OBEDECE",IF(AND(R30&gt;60,Q30&gt;=2000,Q30&lt;=4999),"OBEDECE",IF(AND(R30&gt;30,Q30&gt;=1000,Q30&lt;=1999),"OBEDECE",IF(AND(R30&lt;=29,Q30&lt;=1000),"OBEDECE","NÃO OBEDECE"))))))</f>
        <v>OBEDECE</v>
      </c>
      <c r="P30" s="3" t="s">
        <v>68</v>
      </c>
      <c r="Q30" s="4" t="n">
        <v>37274</v>
      </c>
      <c r="R30" s="4" t="n">
        <v>1082</v>
      </c>
      <c r="S30" s="14" t="n">
        <v>0</v>
      </c>
      <c r="T30" s="14" t="n">
        <v>0</v>
      </c>
      <c r="U30" s="14" t="n">
        <v>0</v>
      </c>
      <c r="V30" s="14" t="n">
        <v>1</v>
      </c>
      <c r="W30" s="14" t="n">
        <v>0</v>
      </c>
      <c r="X30" s="14" t="n">
        <v>1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</row>
    <row r="31" customFormat="false" ht="15" hidden="false" customHeight="false" outlineLevel="0" collapsed="false">
      <c r="A31" s="11" t="s">
        <v>119</v>
      </c>
      <c r="B31" s="11" t="s">
        <v>40</v>
      </c>
      <c r="C31" s="11" t="s">
        <v>41</v>
      </c>
      <c r="D31" s="11" t="s">
        <v>42</v>
      </c>
      <c r="E31" s="11" t="s">
        <v>118</v>
      </c>
      <c r="F31" s="11" t="s">
        <v>57</v>
      </c>
      <c r="G31" s="15" t="s">
        <v>120</v>
      </c>
      <c r="H31" s="11" t="s">
        <v>46</v>
      </c>
      <c r="I31" s="11" t="s">
        <v>46</v>
      </c>
      <c r="J31" s="11" t="s">
        <v>47</v>
      </c>
      <c r="K31" s="11" t="s">
        <v>48</v>
      </c>
      <c r="L31" s="11" t="s">
        <v>49</v>
      </c>
      <c r="M31" s="11" t="s">
        <v>50</v>
      </c>
      <c r="N31" s="11" t="s">
        <v>61</v>
      </c>
      <c r="O31" s="13" t="str">
        <f aca="false">IF(AND(R31&gt;600,Q31&gt;20000),"OBEDECE",IF(AND(R31&gt;300,Q31&gt;=10000,Q31&lt;=20000),"OBEDECE",IF(AND(R31&gt;150,Q31&gt;=5000,Q31&lt;=9999),"OBEDECE",IF(AND(R31&gt;60,Q31&gt;=2000,Q31&lt;=4999),"OBEDECE",IF(AND(R31&gt;30,Q31&gt;=1000,Q31&lt;=1999),"OBEDECE",IF(AND(R31&lt;=29,Q31&lt;=1000),"OBEDECE","NÃO OBEDECE"))))))</f>
        <v>NÃO OBEDECE</v>
      </c>
      <c r="P31" s="3" t="s">
        <v>62</v>
      </c>
      <c r="Q31" s="4" t="n">
        <v>12334</v>
      </c>
      <c r="R31" s="4" t="n">
        <v>251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</row>
    <row r="32" customFormat="false" ht="15" hidden="false" customHeight="false" outlineLevel="0" collapsed="false">
      <c r="A32" s="11" t="s">
        <v>121</v>
      </c>
      <c r="B32" s="11" t="s">
        <v>40</v>
      </c>
      <c r="C32" s="11" t="s">
        <v>66</v>
      </c>
      <c r="D32" s="11" t="s">
        <v>55</v>
      </c>
      <c r="E32" s="11" t="s">
        <v>118</v>
      </c>
      <c r="F32" s="11" t="s">
        <v>57</v>
      </c>
      <c r="G32" s="12" t="s">
        <v>122</v>
      </c>
      <c r="H32" s="11" t="s">
        <v>46</v>
      </c>
      <c r="I32" s="11" t="s">
        <v>46</v>
      </c>
      <c r="J32" s="11" t="s">
        <v>47</v>
      </c>
      <c r="K32" s="11" t="s">
        <v>48</v>
      </c>
      <c r="L32" s="11" t="s">
        <v>49</v>
      </c>
      <c r="M32" s="11" t="s">
        <v>50</v>
      </c>
      <c r="N32" s="11" t="s">
        <v>123</v>
      </c>
      <c r="O32" s="13" t="str">
        <f aca="false">IF(AND(R32&gt;600,Q32&gt;20000),"OBEDECE",IF(AND(R32&gt;300,Q32&gt;=10000,Q32&lt;=20000),"OBEDECE",IF(AND(R32&gt;150,Q32&gt;=5000,Q32&lt;=9999),"OBEDECE",IF(AND(R32&gt;60,Q32&gt;=2000,Q32&lt;=4999),"OBEDECE",IF(AND(R32&gt;30,Q32&gt;=1000,Q32&lt;=1999),"OBEDECE",IF(AND(R32&lt;=29,Q32&lt;=1000),"OBEDECE","NÃO OBEDECE"))))))</f>
        <v>OBEDECE</v>
      </c>
      <c r="P32" s="3" t="s">
        <v>62</v>
      </c>
      <c r="Q32" s="4" t="n">
        <v>3678</v>
      </c>
      <c r="R32" s="4" t="n">
        <v>281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</row>
    <row r="33" customFormat="false" ht="15" hidden="false" customHeight="false" outlineLevel="0" collapsed="false">
      <c r="A33" s="10" t="s">
        <v>124</v>
      </c>
      <c r="B33" s="11" t="s">
        <v>40</v>
      </c>
      <c r="C33" s="11" t="s">
        <v>66</v>
      </c>
      <c r="D33" s="11" t="s">
        <v>42</v>
      </c>
      <c r="E33" s="11" t="s">
        <v>118</v>
      </c>
      <c r="F33" s="11" t="s">
        <v>44</v>
      </c>
      <c r="G33" s="12" t="s">
        <v>45</v>
      </c>
      <c r="H33" s="11" t="s">
        <v>46</v>
      </c>
      <c r="I33" s="11" t="s">
        <v>46</v>
      </c>
      <c r="J33" s="11" t="s">
        <v>46</v>
      </c>
      <c r="K33" s="11" t="s">
        <v>48</v>
      </c>
      <c r="L33" s="11" t="s">
        <v>49</v>
      </c>
      <c r="M33" s="11" t="s">
        <v>50</v>
      </c>
      <c r="N33" s="11" t="s">
        <v>51</v>
      </c>
      <c r="O33" s="13" t="str">
        <f aca="false">IF(AND(R33&gt;600,Q33&gt;20000),"OBEDECE",IF(AND(R33&gt;300,Q33&gt;=10000,Q33&lt;=20000),"OBEDECE",IF(AND(R33&gt;150,Q33&gt;=5000,Q33&lt;=9999),"OBEDECE",IF(AND(R33&gt;60,Q33&gt;=2000,Q33&lt;=4999),"OBEDECE",IF(AND(R33&gt;30,Q33&gt;=1000,Q33&lt;=1999),"OBEDECE",IF(AND(R33&lt;=29,Q33&lt;=1000),"OBEDECE","NÃO OBEDECE"))))))</f>
        <v>OBEDECE</v>
      </c>
      <c r="P33" s="3" t="s">
        <v>68</v>
      </c>
      <c r="Q33" s="4" t="n">
        <v>27406</v>
      </c>
      <c r="R33" s="4" t="n">
        <v>1094</v>
      </c>
      <c r="S33" s="14" t="n">
        <v>0</v>
      </c>
      <c r="T33" s="14" t="n">
        <v>0</v>
      </c>
      <c r="U33" s="14" t="n">
        <v>0</v>
      </c>
      <c r="V33" s="14" t="n">
        <v>1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</row>
    <row r="34" customFormat="false" ht="15" hidden="false" customHeight="false" outlineLevel="0" collapsed="false">
      <c r="A34" s="11" t="s">
        <v>125</v>
      </c>
      <c r="B34" s="11" t="s">
        <v>40</v>
      </c>
      <c r="C34" s="11" t="s">
        <v>41</v>
      </c>
      <c r="D34" s="11" t="s">
        <v>55</v>
      </c>
      <c r="E34" s="11" t="s">
        <v>118</v>
      </c>
      <c r="F34" s="11" t="s">
        <v>57</v>
      </c>
      <c r="G34" s="12" t="s">
        <v>126</v>
      </c>
      <c r="H34" s="11" t="s">
        <v>46</v>
      </c>
      <c r="I34" s="11" t="s">
        <v>46</v>
      </c>
      <c r="J34" s="11" t="s">
        <v>47</v>
      </c>
      <c r="K34" s="11" t="s">
        <v>48</v>
      </c>
      <c r="L34" s="11" t="s">
        <v>49</v>
      </c>
      <c r="M34" s="11" t="s">
        <v>60</v>
      </c>
      <c r="N34" s="11" t="s">
        <v>71</v>
      </c>
      <c r="O34" s="13" t="str">
        <f aca="false">IF(AND(R34&gt;600,Q34&gt;20000),"OBEDECE",IF(AND(R34&gt;300,Q34&gt;=10000,Q34&lt;=20000),"OBEDECE",IF(AND(R34&gt;150,Q34&gt;=5000,Q34&lt;=9999),"OBEDECE",IF(AND(R34&gt;60,Q34&gt;=2000,Q34&lt;=4999),"OBEDECE",IF(AND(R34&gt;30,Q34&gt;=1000,Q34&lt;=1999),"OBEDECE",IF(AND(R34&lt;=29,Q34&lt;=1000),"OBEDECE","NÃO OBEDECE"))))))</f>
        <v>OBEDECE</v>
      </c>
      <c r="P34" s="3" t="s">
        <v>62</v>
      </c>
      <c r="Q34" s="4" t="n">
        <v>6848</v>
      </c>
      <c r="R34" s="4" t="n">
        <v>310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</row>
    <row r="35" customFormat="false" ht="15" hidden="false" customHeight="false" outlineLevel="0" collapsed="false">
      <c r="A35" s="10" t="s">
        <v>127</v>
      </c>
      <c r="B35" s="11" t="s">
        <v>40</v>
      </c>
      <c r="C35" s="11" t="s">
        <v>41</v>
      </c>
      <c r="D35" s="11" t="s">
        <v>42</v>
      </c>
      <c r="E35" s="11" t="s">
        <v>118</v>
      </c>
      <c r="F35" s="11" t="s">
        <v>57</v>
      </c>
      <c r="G35" s="12" t="s">
        <v>64</v>
      </c>
      <c r="H35" s="11" t="s">
        <v>46</v>
      </c>
      <c r="I35" s="11" t="s">
        <v>46</v>
      </c>
      <c r="J35" s="11" t="s">
        <v>46</v>
      </c>
      <c r="K35" s="11" t="s">
        <v>48</v>
      </c>
      <c r="L35" s="11" t="s">
        <v>49</v>
      </c>
      <c r="M35" s="11" t="s">
        <v>50</v>
      </c>
      <c r="N35" s="11" t="s">
        <v>61</v>
      </c>
      <c r="O35" s="13" t="str">
        <f aca="false">IF(AND(R35&gt;600,Q35&gt;20000),"OBEDECE",IF(AND(R35&gt;300,Q35&gt;=10000,Q35&lt;=20000),"OBEDECE",IF(AND(R35&gt;150,Q35&gt;=5000,Q35&lt;=9999),"OBEDECE",IF(AND(R35&gt;60,Q35&gt;=2000,Q35&lt;=4999),"OBEDECE",IF(AND(R35&gt;30,Q35&gt;=1000,Q35&lt;=1999),"OBEDECE",IF(AND(R35&lt;=29,Q35&lt;=1000),"OBEDECE","NÃO OBEDECE"))))))</f>
        <v>OBEDECE</v>
      </c>
      <c r="P35" s="3" t="s">
        <v>68</v>
      </c>
      <c r="Q35" s="4" t="n">
        <v>19395</v>
      </c>
      <c r="R35" s="4" t="n">
        <v>1085</v>
      </c>
      <c r="S35" s="14" t="n">
        <v>1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</row>
    <row r="36" customFormat="false" ht="15" hidden="false" customHeight="false" outlineLevel="0" collapsed="false">
      <c r="A36" s="11" t="s">
        <v>128</v>
      </c>
      <c r="B36" s="11" t="s">
        <v>54</v>
      </c>
      <c r="C36" s="11" t="s">
        <v>41</v>
      </c>
      <c r="D36" s="11" t="s">
        <v>55</v>
      </c>
      <c r="E36" s="11" t="s">
        <v>118</v>
      </c>
      <c r="F36" s="11" t="s">
        <v>57</v>
      </c>
      <c r="G36" s="15" t="s">
        <v>129</v>
      </c>
      <c r="H36" s="11" t="s">
        <v>46</v>
      </c>
      <c r="I36" s="11" t="s">
        <v>46</v>
      </c>
      <c r="J36" s="11" t="s">
        <v>47</v>
      </c>
      <c r="K36" s="11" t="s">
        <v>59</v>
      </c>
      <c r="L36" s="11" t="s">
        <v>49</v>
      </c>
      <c r="M36" s="11" t="s">
        <v>60</v>
      </c>
      <c r="N36" s="11" t="s">
        <v>130</v>
      </c>
      <c r="O36" s="13" t="str">
        <f aca="false">IF(AND(R36&gt;600,Q36&gt;20000),"OBEDECE",IF(AND(R36&gt;300,Q36&gt;=10000,Q36&lt;=20000),"OBEDECE",IF(AND(R36&gt;150,Q36&gt;=5000,Q36&lt;=9999),"OBEDECE",IF(AND(R36&gt;60,Q36&gt;=2000,Q36&lt;=4999),"OBEDECE",IF(AND(R36&gt;30,Q36&gt;=1000,Q36&lt;=1999),"OBEDECE",IF(AND(R36&lt;=29,Q36&lt;=1000),"OBEDECE","NÃO OBEDECE"))))))</f>
        <v>OBEDECE</v>
      </c>
      <c r="P36" s="3" t="s">
        <v>62</v>
      </c>
      <c r="Q36" s="4" t="n">
        <v>1763</v>
      </c>
      <c r="R36" s="4" t="n">
        <v>246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</row>
    <row r="37" customFormat="false" ht="15" hidden="false" customHeight="false" outlineLevel="0" collapsed="false">
      <c r="A37" s="10" t="s">
        <v>131</v>
      </c>
      <c r="B37" s="11" t="s">
        <v>40</v>
      </c>
      <c r="C37" s="11" t="s">
        <v>66</v>
      </c>
      <c r="D37" s="11" t="s">
        <v>42</v>
      </c>
      <c r="E37" s="11" t="s">
        <v>43</v>
      </c>
      <c r="F37" s="11" t="s">
        <v>44</v>
      </c>
      <c r="G37" s="12" t="s">
        <v>45</v>
      </c>
      <c r="H37" s="11" t="s">
        <v>46</v>
      </c>
      <c r="I37" s="11" t="s">
        <v>47</v>
      </c>
      <c r="J37" s="11" t="s">
        <v>46</v>
      </c>
      <c r="K37" s="11" t="s">
        <v>48</v>
      </c>
      <c r="L37" s="11" t="s">
        <v>49</v>
      </c>
      <c r="M37" s="11" t="s">
        <v>50</v>
      </c>
      <c r="N37" s="11" t="s">
        <v>51</v>
      </c>
      <c r="O37" s="13" t="str">
        <f aca="false">IF(AND(R37&gt;600,Q37&gt;20000),"OBEDECE",IF(AND(R37&gt;300,Q37&gt;=10000,Q37&lt;=20000),"OBEDECE",IF(AND(R37&gt;150,Q37&gt;=5000,Q37&lt;=9999),"OBEDECE",IF(AND(R37&gt;60,Q37&gt;=2000,Q37&lt;=4999),"OBEDECE",IF(AND(R37&gt;30,Q37&gt;=1000,Q37&lt;=1999),"OBEDECE",IF(AND(R37&lt;=29,Q37&lt;=1000),"OBEDECE","NÃO OBEDECE"))))))</f>
        <v>OBEDECE</v>
      </c>
      <c r="P37" s="3" t="s">
        <v>62</v>
      </c>
      <c r="Q37" s="4" t="n">
        <v>20534</v>
      </c>
      <c r="R37" s="4" t="n">
        <v>849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</v>
      </c>
      <c r="AH37" s="14" t="n">
        <v>0</v>
      </c>
      <c r="AI37" s="14" t="n">
        <v>0</v>
      </c>
      <c r="AJ37" s="14" t="n">
        <v>0</v>
      </c>
      <c r="AK37" s="14" t="n">
        <v>0</v>
      </c>
      <c r="AL37" s="14" t="n">
        <v>0</v>
      </c>
      <c r="AM37" s="14" t="n">
        <v>0</v>
      </c>
    </row>
    <row r="38" customFormat="false" ht="15" hidden="false" customHeight="false" outlineLevel="0" collapsed="false">
      <c r="A38" s="11" t="s">
        <v>132</v>
      </c>
      <c r="B38" s="11" t="s">
        <v>54</v>
      </c>
      <c r="C38" s="11" t="s">
        <v>66</v>
      </c>
      <c r="D38" s="11" t="s">
        <v>55</v>
      </c>
      <c r="E38" s="11" t="s">
        <v>56</v>
      </c>
      <c r="F38" s="11" t="s">
        <v>57</v>
      </c>
      <c r="G38" s="12" t="s">
        <v>83</v>
      </c>
      <c r="H38" s="11" t="s">
        <v>46</v>
      </c>
      <c r="I38" s="11" t="s">
        <v>47</v>
      </c>
      <c r="J38" s="11" t="s">
        <v>47</v>
      </c>
      <c r="K38" s="11" t="s">
        <v>59</v>
      </c>
      <c r="L38" s="11" t="s">
        <v>77</v>
      </c>
      <c r="M38" s="11" t="s">
        <v>60</v>
      </c>
      <c r="N38" s="11" t="s">
        <v>123</v>
      </c>
      <c r="O38" s="13" t="str">
        <f aca="false">IF(AND(R38&gt;600,Q38&gt;20000),"OBEDECE",IF(AND(R38&gt;300,Q38&gt;=10000,Q38&lt;=20000),"OBEDECE",IF(AND(R38&gt;150,Q38&gt;=5000,Q38&lt;=9999),"OBEDECE",IF(AND(R38&gt;60,Q38&gt;=2000,Q38&lt;=4999),"OBEDECE",IF(AND(R38&gt;30,Q38&gt;=1000,Q38&lt;=1999),"OBEDECE",IF(AND(R38&lt;=29,Q38&lt;=1000),"OBEDECE","NÃO OBEDECE"))))))</f>
        <v>OBEDECE</v>
      </c>
      <c r="P38" s="3" t="s">
        <v>62</v>
      </c>
      <c r="Q38" s="4" t="n">
        <v>4874</v>
      </c>
      <c r="R38" s="4" t="n">
        <v>177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0</v>
      </c>
      <c r="AL38" s="14" t="n">
        <v>0</v>
      </c>
      <c r="AM38" s="14" t="n">
        <v>0</v>
      </c>
    </row>
    <row r="39" customFormat="false" ht="15" hidden="false" customHeight="false" outlineLevel="0" collapsed="false">
      <c r="A39" s="11" t="s">
        <v>133</v>
      </c>
      <c r="B39" s="11" t="s">
        <v>40</v>
      </c>
      <c r="C39" s="11" t="s">
        <v>41</v>
      </c>
      <c r="D39" s="11" t="s">
        <v>42</v>
      </c>
      <c r="E39" s="11" t="s">
        <v>118</v>
      </c>
      <c r="F39" s="11" t="s">
        <v>57</v>
      </c>
      <c r="G39" s="12" t="s">
        <v>85</v>
      </c>
      <c r="H39" s="11" t="s">
        <v>46</v>
      </c>
      <c r="I39" s="11" t="s">
        <v>46</v>
      </c>
      <c r="J39" s="11" t="s">
        <v>47</v>
      </c>
      <c r="K39" s="11" t="s">
        <v>59</v>
      </c>
      <c r="L39" s="11" t="s">
        <v>74</v>
      </c>
      <c r="M39" s="11" t="s">
        <v>50</v>
      </c>
      <c r="N39" s="11" t="s">
        <v>51</v>
      </c>
      <c r="O39" s="13" t="str">
        <f aca="false">IF(AND(R39&gt;600,Q39&gt;20000),"OBEDECE",IF(AND(R39&gt;300,Q39&gt;=10000,Q39&lt;=20000),"OBEDECE",IF(AND(R39&gt;150,Q39&gt;=5000,Q39&lt;=9999),"OBEDECE",IF(AND(R39&gt;60,Q39&gt;=2000,Q39&lt;=4999),"OBEDECE",IF(AND(R39&gt;30,Q39&gt;=1000,Q39&lt;=1999),"OBEDECE",IF(AND(R39&lt;=29,Q39&lt;=1000),"OBEDECE","NÃO OBEDECE"))))))</f>
        <v>NÃO OBEDECE</v>
      </c>
      <c r="P39" s="3" t="s">
        <v>52</v>
      </c>
      <c r="Q39" s="4" t="n">
        <v>23684</v>
      </c>
      <c r="R39" s="4" t="n">
        <v>445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  <c r="AH39" s="14" t="n">
        <v>0</v>
      </c>
      <c r="AI39" s="14" t="n">
        <v>0</v>
      </c>
      <c r="AJ39" s="14" t="n">
        <v>0</v>
      </c>
      <c r="AK39" s="14" t="n">
        <v>0</v>
      </c>
      <c r="AL39" s="14" t="n">
        <v>0</v>
      </c>
      <c r="AM39" s="14" t="n">
        <v>1</v>
      </c>
    </row>
    <row r="40" customFormat="false" ht="15" hidden="false" customHeight="false" outlineLevel="0" collapsed="false">
      <c r="A40" s="10" t="s">
        <v>134</v>
      </c>
      <c r="B40" s="11" t="s">
        <v>40</v>
      </c>
      <c r="C40" s="11" t="s">
        <v>66</v>
      </c>
      <c r="D40" s="11" t="s">
        <v>42</v>
      </c>
      <c r="E40" s="11" t="s">
        <v>118</v>
      </c>
      <c r="F40" s="11" t="s">
        <v>44</v>
      </c>
      <c r="G40" s="12" t="s">
        <v>45</v>
      </c>
      <c r="H40" s="11" t="s">
        <v>46</v>
      </c>
      <c r="I40" s="11" t="s">
        <v>46</v>
      </c>
      <c r="J40" s="11" t="s">
        <v>46</v>
      </c>
      <c r="K40" s="11" t="s">
        <v>59</v>
      </c>
      <c r="L40" s="11" t="s">
        <v>135</v>
      </c>
      <c r="M40" s="11" t="s">
        <v>50</v>
      </c>
      <c r="N40" s="11" t="s">
        <v>51</v>
      </c>
      <c r="O40" s="13" t="str">
        <f aca="false">IF(AND(R40&gt;600,Q40&gt;20000),"OBEDECE",IF(AND(R40&gt;300,Q40&gt;=10000,Q40&lt;=20000),"OBEDECE",IF(AND(R40&gt;150,Q40&gt;=5000,Q40&lt;=9999),"OBEDECE",IF(AND(R40&gt;60,Q40&gt;=2000,Q40&lt;=4999),"OBEDECE",IF(AND(R40&gt;30,Q40&gt;=1000,Q40&lt;=1999),"OBEDECE",IF(AND(R40&lt;=29,Q40&lt;=1000),"OBEDECE","NÃO OBEDECE"))))))</f>
        <v>OBEDECE</v>
      </c>
      <c r="P40" s="3" t="s">
        <v>68</v>
      </c>
      <c r="Q40" s="4" t="n">
        <v>36996</v>
      </c>
      <c r="R40" s="4" t="n">
        <v>1012</v>
      </c>
      <c r="S40" s="14" t="n">
        <v>0</v>
      </c>
      <c r="T40" s="14" t="n">
        <v>0</v>
      </c>
      <c r="U40" s="14" t="n">
        <v>0</v>
      </c>
      <c r="V40" s="14" t="n">
        <v>1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1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</row>
    <row r="41" customFormat="false" ht="15" hidden="false" customHeight="false" outlineLevel="0" collapsed="false">
      <c r="A41" s="11" t="s">
        <v>136</v>
      </c>
      <c r="B41" s="11" t="s">
        <v>40</v>
      </c>
      <c r="C41" s="11" t="s">
        <v>66</v>
      </c>
      <c r="D41" s="11" t="s">
        <v>42</v>
      </c>
      <c r="E41" s="11" t="s">
        <v>118</v>
      </c>
      <c r="F41" s="11" t="s">
        <v>57</v>
      </c>
      <c r="G41" s="12" t="s">
        <v>137</v>
      </c>
      <c r="H41" s="11" t="s">
        <v>46</v>
      </c>
      <c r="I41" s="11" t="s">
        <v>46</v>
      </c>
      <c r="J41" s="11" t="s">
        <v>47</v>
      </c>
      <c r="K41" s="11" t="s">
        <v>59</v>
      </c>
      <c r="L41" s="11" t="s">
        <v>74</v>
      </c>
      <c r="M41" s="11" t="s">
        <v>60</v>
      </c>
      <c r="N41" s="11" t="s">
        <v>61</v>
      </c>
      <c r="O41" s="13" t="str">
        <f aca="false">IF(AND(R41&gt;600,Q41&gt;20000),"OBEDECE",IF(AND(R41&gt;300,Q41&gt;=10000,Q41&lt;=20000),"OBEDECE",IF(AND(R41&gt;150,Q41&gt;=5000,Q41&lt;=9999),"OBEDECE",IF(AND(R41&gt;60,Q41&gt;=2000,Q41&lt;=4999),"OBEDECE",IF(AND(R41&gt;30,Q41&gt;=1000,Q41&lt;=1999),"OBEDECE",IF(AND(R41&lt;=29,Q41&lt;=1000),"OBEDECE","NÃO OBEDECE"))))))</f>
        <v>NÃO OBEDECE</v>
      </c>
      <c r="P41" s="3" t="s">
        <v>62</v>
      </c>
      <c r="Q41" s="4" t="n">
        <v>13491</v>
      </c>
      <c r="R41" s="4" t="n">
        <v>222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0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0</v>
      </c>
    </row>
    <row r="42" customFormat="false" ht="15" hidden="false" customHeight="false" outlineLevel="0" collapsed="false">
      <c r="A42" s="11" t="s">
        <v>138</v>
      </c>
      <c r="B42" s="11" t="s">
        <v>54</v>
      </c>
      <c r="C42" s="11" t="s">
        <v>66</v>
      </c>
      <c r="D42" s="11" t="s">
        <v>55</v>
      </c>
      <c r="E42" s="11" t="s">
        <v>118</v>
      </c>
      <c r="F42" s="11" t="s">
        <v>57</v>
      </c>
      <c r="G42" s="12" t="s">
        <v>81</v>
      </c>
      <c r="H42" s="11" t="s">
        <v>46</v>
      </c>
      <c r="I42" s="11" t="s">
        <v>46</v>
      </c>
      <c r="J42" s="11" t="s">
        <v>47</v>
      </c>
      <c r="K42" s="11" t="s">
        <v>59</v>
      </c>
      <c r="L42" s="11" t="s">
        <v>74</v>
      </c>
      <c r="M42" s="11" t="s">
        <v>50</v>
      </c>
      <c r="N42" s="11" t="s">
        <v>51</v>
      </c>
      <c r="O42" s="13" t="str">
        <f aca="false">IF(AND(R42&gt;600,Q42&gt;20000),"OBEDECE",IF(AND(R42&gt;300,Q42&gt;=10000,Q42&lt;=20000),"OBEDECE",IF(AND(R42&gt;150,Q42&gt;=5000,Q42&lt;=9999),"OBEDECE",IF(AND(R42&gt;60,Q42&gt;=2000,Q42&lt;=4999),"OBEDECE",IF(AND(R42&gt;30,Q42&gt;=1000,Q42&lt;=1999),"OBEDECE",IF(AND(R42&lt;=29,Q42&lt;=1000),"OBEDECE","NÃO OBEDECE"))))))</f>
        <v>NÃO OBEDECE</v>
      </c>
      <c r="P42" s="3" t="s">
        <v>52</v>
      </c>
      <c r="Q42" s="4" t="n">
        <v>26033</v>
      </c>
      <c r="R42" s="4" t="n">
        <v>435</v>
      </c>
      <c r="S42" s="14" t="n">
        <v>0</v>
      </c>
      <c r="T42" s="14" t="n">
        <v>1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1</v>
      </c>
    </row>
    <row r="43" customFormat="false" ht="15" hidden="false" customHeight="false" outlineLevel="0" collapsed="false">
      <c r="A43" s="11" t="s">
        <v>139</v>
      </c>
      <c r="B43" s="11" t="s">
        <v>40</v>
      </c>
      <c r="C43" s="11" t="s">
        <v>41</v>
      </c>
      <c r="D43" s="11" t="s">
        <v>42</v>
      </c>
      <c r="E43" s="11" t="s">
        <v>118</v>
      </c>
      <c r="F43" s="11" t="s">
        <v>57</v>
      </c>
      <c r="G43" s="12" t="s">
        <v>67</v>
      </c>
      <c r="H43" s="11" t="s">
        <v>46</v>
      </c>
      <c r="I43" s="11" t="s">
        <v>46</v>
      </c>
      <c r="J43" s="11" t="s">
        <v>47</v>
      </c>
      <c r="K43" s="11" t="s">
        <v>59</v>
      </c>
      <c r="L43" s="11" t="s">
        <v>74</v>
      </c>
      <c r="M43" s="11" t="s">
        <v>60</v>
      </c>
      <c r="N43" s="11" t="s">
        <v>61</v>
      </c>
      <c r="O43" s="13" t="str">
        <f aca="false">IF(AND(R43&gt;600,Q43&gt;20000),"OBEDECE",IF(AND(R43&gt;300,Q43&gt;=10000,Q43&lt;=20000),"OBEDECE",IF(AND(R43&gt;150,Q43&gt;=5000,Q43&lt;=9999),"OBEDECE",IF(AND(R43&gt;60,Q43&gt;=2000,Q43&lt;=4999),"OBEDECE",IF(AND(R43&gt;30,Q43&gt;=1000,Q43&lt;=1999),"OBEDECE",IF(AND(R43&lt;=29,Q43&lt;=1000),"OBEDECE","NÃO OBEDECE"))))))</f>
        <v>NÃO OBEDECE</v>
      </c>
      <c r="P43" s="3" t="s">
        <v>52</v>
      </c>
      <c r="Q43" s="4" t="n">
        <v>18498</v>
      </c>
      <c r="R43" s="4" t="n">
        <v>276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1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0</v>
      </c>
      <c r="AH43" s="14" t="n">
        <v>0</v>
      </c>
      <c r="AI43" s="14" t="n">
        <v>0</v>
      </c>
      <c r="AJ43" s="14" t="n">
        <v>0</v>
      </c>
      <c r="AK43" s="14" t="n">
        <v>1</v>
      </c>
      <c r="AL43" s="14" t="n">
        <v>0</v>
      </c>
      <c r="AM43" s="14" t="n">
        <v>1</v>
      </c>
    </row>
    <row r="44" customFormat="false" ht="15" hidden="false" customHeight="false" outlineLevel="0" collapsed="false">
      <c r="A44" s="11" t="s">
        <v>140</v>
      </c>
      <c r="B44" s="11" t="s">
        <v>40</v>
      </c>
      <c r="C44" s="11" t="s">
        <v>66</v>
      </c>
      <c r="D44" s="11" t="s">
        <v>42</v>
      </c>
      <c r="E44" s="11" t="s">
        <v>118</v>
      </c>
      <c r="F44" s="11" t="s">
        <v>57</v>
      </c>
      <c r="G44" s="12" t="s">
        <v>70</v>
      </c>
      <c r="H44" s="11" t="s">
        <v>46</v>
      </c>
      <c r="I44" s="11" t="s">
        <v>46</v>
      </c>
      <c r="J44" s="11" t="s">
        <v>47</v>
      </c>
      <c r="K44" s="11" t="s">
        <v>59</v>
      </c>
      <c r="L44" s="11" t="s">
        <v>74</v>
      </c>
      <c r="M44" s="11" t="s">
        <v>60</v>
      </c>
      <c r="N44" s="11" t="s">
        <v>61</v>
      </c>
      <c r="O44" s="13" t="str">
        <f aca="false">IF(AND(R44&gt;600,Q44&gt;20000),"OBEDECE",IF(AND(R44&gt;300,Q44&gt;=10000,Q44&lt;=20000),"OBEDECE",IF(AND(R44&gt;150,Q44&gt;=5000,Q44&lt;=9999),"OBEDECE",IF(AND(R44&gt;60,Q44&gt;=2000,Q44&lt;=4999),"OBEDECE",IF(AND(R44&gt;30,Q44&gt;=1000,Q44&lt;=1999),"OBEDECE",IF(AND(R44&lt;=29,Q44&lt;=1000),"OBEDECE","NÃO OBEDECE"))))))</f>
        <v>NÃO OBEDECE</v>
      </c>
      <c r="P44" s="3" t="s">
        <v>62</v>
      </c>
      <c r="Q44" s="4" t="n">
        <v>10247</v>
      </c>
      <c r="R44" s="4" t="n">
        <v>281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</row>
    <row r="45" customFormat="false" ht="15" hidden="false" customHeight="false" outlineLevel="0" collapsed="false">
      <c r="A45" s="11" t="s">
        <v>141</v>
      </c>
      <c r="B45" s="11" t="s">
        <v>40</v>
      </c>
      <c r="C45" s="11" t="s">
        <v>66</v>
      </c>
      <c r="D45" s="11" t="s">
        <v>42</v>
      </c>
      <c r="E45" s="11" t="s">
        <v>118</v>
      </c>
      <c r="F45" s="11" t="s">
        <v>57</v>
      </c>
      <c r="G45" s="12" t="s">
        <v>108</v>
      </c>
      <c r="H45" s="11" t="s">
        <v>46</v>
      </c>
      <c r="I45" s="11" t="s">
        <v>46</v>
      </c>
      <c r="J45" s="11" t="s">
        <v>47</v>
      </c>
      <c r="K45" s="11" t="s">
        <v>59</v>
      </c>
      <c r="L45" s="11" t="s">
        <v>74</v>
      </c>
      <c r="M45" s="11" t="s">
        <v>50</v>
      </c>
      <c r="N45" s="11" t="s">
        <v>61</v>
      </c>
      <c r="O45" s="13" t="str">
        <f aca="false">IF(AND(R45&gt;600,Q45&gt;20000),"OBEDECE",IF(AND(R45&gt;300,Q45&gt;=10000,Q45&lt;=20000),"OBEDECE",IF(AND(R45&gt;150,Q45&gt;=5000,Q45&lt;=9999),"OBEDECE",IF(AND(R45&gt;60,Q45&gt;=2000,Q45&lt;=4999),"OBEDECE",IF(AND(R45&gt;30,Q45&gt;=1000,Q45&lt;=1999),"OBEDECE",IF(AND(R45&lt;=29,Q45&lt;=1000),"OBEDECE","NÃO OBEDECE"))))))</f>
        <v>OBEDECE</v>
      </c>
      <c r="P45" s="3" t="s">
        <v>52</v>
      </c>
      <c r="Q45" s="4" t="n">
        <v>10614</v>
      </c>
      <c r="R45" s="4" t="n">
        <v>412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1</v>
      </c>
      <c r="AI45" s="14" t="n">
        <v>0</v>
      </c>
      <c r="AJ45" s="14" t="n">
        <v>0</v>
      </c>
      <c r="AK45" s="14" t="n">
        <v>0</v>
      </c>
      <c r="AL45" s="14" t="n">
        <v>0</v>
      </c>
      <c r="AM45" s="14" t="n">
        <v>0</v>
      </c>
    </row>
    <row r="46" customFormat="false" ht="15" hidden="false" customHeight="false" outlineLevel="0" collapsed="false">
      <c r="A46" s="11" t="s">
        <v>142</v>
      </c>
      <c r="B46" s="11" t="s">
        <v>54</v>
      </c>
      <c r="C46" s="11" t="s">
        <v>66</v>
      </c>
      <c r="D46" s="11" t="s">
        <v>55</v>
      </c>
      <c r="E46" s="11" t="s">
        <v>118</v>
      </c>
      <c r="F46" s="11" t="s">
        <v>57</v>
      </c>
      <c r="G46" s="12" t="s">
        <v>58</v>
      </c>
      <c r="H46" s="11" t="s">
        <v>46</v>
      </c>
      <c r="I46" s="11" t="s">
        <v>46</v>
      </c>
      <c r="J46" s="11" t="s">
        <v>47</v>
      </c>
      <c r="K46" s="11" t="s">
        <v>59</v>
      </c>
      <c r="L46" s="11" t="s">
        <v>49</v>
      </c>
      <c r="M46" s="11" t="s">
        <v>60</v>
      </c>
      <c r="N46" s="11" t="s">
        <v>123</v>
      </c>
      <c r="O46" s="13" t="str">
        <f aca="false">IF(AND(R46&gt;600,Q46&gt;20000),"OBEDECE",IF(AND(R46&gt;300,Q46&gt;=10000,Q46&lt;=20000),"OBEDECE",IF(AND(R46&gt;150,Q46&gt;=5000,Q46&lt;=9999),"OBEDECE",IF(AND(R46&gt;60,Q46&gt;=2000,Q46&lt;=4999),"OBEDECE",IF(AND(R46&gt;30,Q46&gt;=1000,Q46&lt;=1999),"OBEDECE",IF(AND(R46&lt;=29,Q46&lt;=1000),"OBEDECE","NÃO OBEDECE"))))))</f>
        <v>OBEDECE</v>
      </c>
      <c r="P46" s="3" t="s">
        <v>62</v>
      </c>
      <c r="Q46" s="4" t="n">
        <v>4657</v>
      </c>
      <c r="R46" s="4" t="n">
        <v>260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</row>
    <row r="47" customFormat="false" ht="15" hidden="false" customHeight="false" outlineLevel="0" collapsed="false">
      <c r="A47" s="11" t="s">
        <v>143</v>
      </c>
      <c r="B47" s="11" t="s">
        <v>54</v>
      </c>
      <c r="C47" s="11" t="s">
        <v>41</v>
      </c>
      <c r="D47" s="11" t="s">
        <v>55</v>
      </c>
      <c r="E47" s="11" t="s">
        <v>118</v>
      </c>
      <c r="F47" s="11" t="s">
        <v>57</v>
      </c>
      <c r="G47" s="12" t="s">
        <v>90</v>
      </c>
      <c r="H47" s="11" t="s">
        <v>46</v>
      </c>
      <c r="I47" s="11" t="s">
        <v>46</v>
      </c>
      <c r="J47" s="11" t="s">
        <v>47</v>
      </c>
      <c r="K47" s="11" t="s">
        <v>59</v>
      </c>
      <c r="L47" s="11" t="s">
        <v>74</v>
      </c>
      <c r="M47" s="11" t="s">
        <v>50</v>
      </c>
      <c r="N47" s="11" t="s">
        <v>71</v>
      </c>
      <c r="O47" s="13" t="str">
        <f aca="false">IF(AND(R47&gt;600,Q47&gt;20000),"OBEDECE",IF(AND(R47&gt;300,Q47&gt;=10000,Q47&lt;=20000),"OBEDECE",IF(AND(R47&gt;150,Q47&gt;=5000,Q47&lt;=9999),"OBEDECE",IF(AND(R47&gt;60,Q47&gt;=2000,Q47&lt;=4999),"OBEDECE",IF(AND(R47&gt;30,Q47&gt;=1000,Q47&lt;=1999),"OBEDECE",IF(AND(R47&lt;=29,Q47&lt;=1000),"OBEDECE","NÃO OBEDECE"))))))</f>
        <v>OBEDECE</v>
      </c>
      <c r="P47" s="3" t="s">
        <v>52</v>
      </c>
      <c r="Q47" s="4" t="n">
        <v>9120</v>
      </c>
      <c r="R47" s="4" t="n">
        <v>316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0</v>
      </c>
      <c r="AI47" s="14" t="n">
        <v>1</v>
      </c>
      <c r="AJ47" s="14" t="n">
        <v>0</v>
      </c>
      <c r="AK47" s="14" t="n">
        <v>0</v>
      </c>
      <c r="AL47" s="14" t="n">
        <v>0</v>
      </c>
      <c r="AM47" s="14" t="n">
        <v>1</v>
      </c>
    </row>
    <row r="48" customFormat="false" ht="15" hidden="false" customHeight="false" outlineLevel="0" collapsed="false">
      <c r="A48" s="11" t="s">
        <v>144</v>
      </c>
      <c r="B48" s="11" t="s">
        <v>54</v>
      </c>
      <c r="C48" s="11" t="s">
        <v>41</v>
      </c>
      <c r="D48" s="11" t="s">
        <v>55</v>
      </c>
      <c r="E48" s="11" t="s">
        <v>118</v>
      </c>
      <c r="F48" s="11" t="s">
        <v>57</v>
      </c>
      <c r="G48" s="12" t="s">
        <v>145</v>
      </c>
      <c r="H48" s="11" t="s">
        <v>46</v>
      </c>
      <c r="I48" s="11" t="s">
        <v>46</v>
      </c>
      <c r="J48" s="11" t="s">
        <v>47</v>
      </c>
      <c r="K48" s="11" t="s">
        <v>59</v>
      </c>
      <c r="L48" s="11" t="s">
        <v>74</v>
      </c>
      <c r="M48" s="11" t="s">
        <v>60</v>
      </c>
      <c r="N48" s="11" t="s">
        <v>71</v>
      </c>
      <c r="O48" s="13" t="str">
        <f aca="false">IF(AND(R48&gt;600,Q48&gt;20000),"OBEDECE",IF(AND(R48&gt;300,Q48&gt;=10000,Q48&lt;=20000),"OBEDECE",IF(AND(R48&gt;150,Q48&gt;=5000,Q48&lt;=9999),"OBEDECE",IF(AND(R48&gt;60,Q48&gt;=2000,Q48&lt;=4999),"OBEDECE",IF(AND(R48&gt;30,Q48&gt;=1000,Q48&lt;=1999),"OBEDECE",IF(AND(R48&lt;=29,Q48&lt;=1000),"OBEDECE","NÃO OBEDECE"))))))</f>
        <v>OBEDECE</v>
      </c>
      <c r="P48" s="3" t="s">
        <v>62</v>
      </c>
      <c r="Q48" s="4" t="n">
        <v>6484</v>
      </c>
      <c r="R48" s="4" t="n">
        <v>299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</row>
    <row r="49" customFormat="false" ht="15" hidden="false" customHeight="false" outlineLevel="0" collapsed="false">
      <c r="A49" s="11" t="s">
        <v>146</v>
      </c>
      <c r="B49" s="11" t="s">
        <v>54</v>
      </c>
      <c r="C49" s="11" t="s">
        <v>66</v>
      </c>
      <c r="D49" s="11" t="s">
        <v>55</v>
      </c>
      <c r="E49" s="11" t="s">
        <v>118</v>
      </c>
      <c r="F49" s="11" t="s">
        <v>57</v>
      </c>
      <c r="G49" s="12" t="s">
        <v>147</v>
      </c>
      <c r="H49" s="11" t="s">
        <v>46</v>
      </c>
      <c r="I49" s="11" t="s">
        <v>46</v>
      </c>
      <c r="J49" s="11" t="s">
        <v>47</v>
      </c>
      <c r="K49" s="11" t="s">
        <v>59</v>
      </c>
      <c r="L49" s="11" t="s">
        <v>74</v>
      </c>
      <c r="M49" s="11" t="s">
        <v>50</v>
      </c>
      <c r="N49" s="11" t="s">
        <v>71</v>
      </c>
      <c r="O49" s="13" t="str">
        <f aca="false">IF(AND(R49&gt;600,Q49&gt;20000),"OBEDECE",IF(AND(R49&gt;300,Q49&gt;=10000,Q49&lt;=20000),"OBEDECE",IF(AND(R49&gt;150,Q49&gt;=5000,Q49&lt;=9999),"OBEDECE",IF(AND(R49&gt;60,Q49&gt;=2000,Q49&lt;=4999),"OBEDECE",IF(AND(R49&gt;30,Q49&gt;=1000,Q49&lt;=1999),"OBEDECE",IF(AND(R49&lt;=29,Q49&lt;=1000),"OBEDECE","NÃO OBEDECE"))))))</f>
        <v>OBEDECE</v>
      </c>
      <c r="P49" s="3" t="s">
        <v>68</v>
      </c>
      <c r="Q49" s="4" t="n">
        <v>8979</v>
      </c>
      <c r="R49" s="4" t="n">
        <v>307</v>
      </c>
      <c r="S49" s="14" t="n">
        <v>0</v>
      </c>
      <c r="T49" s="14" t="n">
        <v>0</v>
      </c>
      <c r="U49" s="14" t="n">
        <v>0</v>
      </c>
      <c r="V49" s="14" t="n">
        <v>1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</row>
    <row r="50" customFormat="false" ht="15" hidden="false" customHeight="false" outlineLevel="0" collapsed="false">
      <c r="A50" s="11" t="s">
        <v>148</v>
      </c>
      <c r="B50" s="11" t="s">
        <v>40</v>
      </c>
      <c r="C50" s="11" t="s">
        <v>66</v>
      </c>
      <c r="D50" s="11" t="s">
        <v>42</v>
      </c>
      <c r="E50" s="11" t="s">
        <v>118</v>
      </c>
      <c r="F50" s="11" t="s">
        <v>57</v>
      </c>
      <c r="G50" s="12" t="s">
        <v>73</v>
      </c>
      <c r="H50" s="11" t="s">
        <v>46</v>
      </c>
      <c r="I50" s="11" t="s">
        <v>46</v>
      </c>
      <c r="J50" s="11" t="s">
        <v>47</v>
      </c>
      <c r="K50" s="11" t="s">
        <v>59</v>
      </c>
      <c r="L50" s="11" t="s">
        <v>74</v>
      </c>
      <c r="M50" s="11" t="s">
        <v>60</v>
      </c>
      <c r="N50" s="11" t="s">
        <v>51</v>
      </c>
      <c r="O50" s="13" t="str">
        <f aca="false">IF(AND(R50&gt;600,Q50&gt;20000),"OBEDECE",IF(AND(R50&gt;300,Q50&gt;=10000,Q50&lt;=20000),"OBEDECE",IF(AND(R50&gt;150,Q50&gt;=5000,Q50&lt;=9999),"OBEDECE",IF(AND(R50&gt;60,Q50&gt;=2000,Q50&lt;=4999),"OBEDECE",IF(AND(R50&gt;30,Q50&gt;=1000,Q50&lt;=1999),"OBEDECE",IF(AND(R50&lt;=29,Q50&lt;=1000),"OBEDECE","NÃO OBEDECE"))))))</f>
        <v>NÃO OBEDECE</v>
      </c>
      <c r="P50" s="3" t="s">
        <v>62</v>
      </c>
      <c r="Q50" s="4" t="n">
        <v>31946</v>
      </c>
      <c r="R50" s="4" t="n">
        <v>582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</row>
    <row r="51" customFormat="false" ht="15" hidden="false" customHeight="false" outlineLevel="0" collapsed="false">
      <c r="A51" s="11" t="s">
        <v>149</v>
      </c>
      <c r="B51" s="11" t="s">
        <v>40</v>
      </c>
      <c r="C51" s="11" t="s">
        <v>41</v>
      </c>
      <c r="D51" s="11" t="s">
        <v>42</v>
      </c>
      <c r="E51" s="11" t="s">
        <v>118</v>
      </c>
      <c r="F51" s="11" t="s">
        <v>57</v>
      </c>
      <c r="G51" s="12" t="s">
        <v>106</v>
      </c>
      <c r="H51" s="11" t="s">
        <v>46</v>
      </c>
      <c r="I51" s="11" t="s">
        <v>46</v>
      </c>
      <c r="J51" s="11" t="s">
        <v>47</v>
      </c>
      <c r="K51" s="11" t="s">
        <v>59</v>
      </c>
      <c r="L51" s="11" t="s">
        <v>74</v>
      </c>
      <c r="M51" s="11" t="s">
        <v>60</v>
      </c>
      <c r="N51" s="11" t="s">
        <v>71</v>
      </c>
      <c r="O51" s="13" t="str">
        <f aca="false">IF(AND(R51&gt;600,Q51&gt;20000),"OBEDECE",IF(AND(R51&gt;300,Q51&gt;=10000,Q51&lt;=20000),"OBEDECE",IF(AND(R51&gt;150,Q51&gt;=5000,Q51&lt;=9999),"OBEDECE",IF(AND(R51&gt;60,Q51&gt;=2000,Q51&lt;=4999),"OBEDECE",IF(AND(R51&gt;30,Q51&gt;=1000,Q51&lt;=1999),"OBEDECE",IF(AND(R51&lt;=29,Q51&lt;=1000),"OBEDECE","NÃO OBEDECE"))))))</f>
        <v>OBEDECE</v>
      </c>
      <c r="P51" s="3" t="s">
        <v>62</v>
      </c>
      <c r="Q51" s="4" t="n">
        <v>9448</v>
      </c>
      <c r="R51" s="4" t="n">
        <v>307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0</v>
      </c>
      <c r="AH51" s="14" t="n">
        <v>0</v>
      </c>
      <c r="AI51" s="14" t="n">
        <v>0</v>
      </c>
      <c r="AJ51" s="14" t="n">
        <v>0</v>
      </c>
      <c r="AK51" s="14" t="n">
        <v>0</v>
      </c>
      <c r="AL51" s="14" t="n">
        <v>0</v>
      </c>
      <c r="AM51" s="14" t="n">
        <v>0</v>
      </c>
    </row>
    <row r="52" customFormat="false" ht="15" hidden="false" customHeight="false" outlineLevel="0" collapsed="false">
      <c r="A52" s="10" t="s">
        <v>150</v>
      </c>
      <c r="B52" s="11" t="s">
        <v>54</v>
      </c>
      <c r="C52" s="11" t="s">
        <v>41</v>
      </c>
      <c r="D52" s="11" t="s">
        <v>55</v>
      </c>
      <c r="E52" s="11" t="s">
        <v>118</v>
      </c>
      <c r="F52" s="11" t="s">
        <v>57</v>
      </c>
      <c r="G52" s="12" t="s">
        <v>64</v>
      </c>
      <c r="H52" s="11" t="s">
        <v>46</v>
      </c>
      <c r="I52" s="11" t="s">
        <v>46</v>
      </c>
      <c r="J52" s="11" t="s">
        <v>46</v>
      </c>
      <c r="K52" s="11" t="s">
        <v>59</v>
      </c>
      <c r="L52" s="11" t="s">
        <v>74</v>
      </c>
      <c r="M52" s="11" t="s">
        <v>50</v>
      </c>
      <c r="N52" s="11" t="s">
        <v>51</v>
      </c>
      <c r="O52" s="13" t="str">
        <f aca="false">IF(AND(R52&gt;600,Q52&gt;20000),"OBEDECE",IF(AND(R52&gt;300,Q52&gt;=10000,Q52&lt;=20000),"OBEDECE",IF(AND(R52&gt;150,Q52&gt;=5000,Q52&lt;=9999),"OBEDECE",IF(AND(R52&gt;60,Q52&gt;=2000,Q52&lt;=4999),"OBEDECE",IF(AND(R52&gt;30,Q52&gt;=1000,Q52&lt;=1999),"OBEDECE",IF(AND(R52&lt;=29,Q52&lt;=1000),"OBEDECE","NÃO OBEDECE"))))))</f>
        <v>OBEDECE</v>
      </c>
      <c r="P52" s="3" t="s">
        <v>68</v>
      </c>
      <c r="Q52" s="4" t="n">
        <v>28225</v>
      </c>
      <c r="R52" s="4" t="n">
        <v>685</v>
      </c>
      <c r="S52" s="14" t="n">
        <v>0</v>
      </c>
      <c r="T52" s="14" t="n">
        <v>0</v>
      </c>
      <c r="U52" s="14" t="n">
        <v>1</v>
      </c>
      <c r="V52" s="14" t="n">
        <v>1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</row>
    <row r="53" customFormat="false" ht="15" hidden="false" customHeight="false" outlineLevel="0" collapsed="false">
      <c r="A53" s="11" t="s">
        <v>151</v>
      </c>
      <c r="B53" s="11" t="s">
        <v>40</v>
      </c>
      <c r="C53" s="11" t="s">
        <v>66</v>
      </c>
      <c r="D53" s="11" t="s">
        <v>42</v>
      </c>
      <c r="E53" s="11" t="s">
        <v>118</v>
      </c>
      <c r="F53" s="11" t="s">
        <v>57</v>
      </c>
      <c r="G53" s="12" t="s">
        <v>87</v>
      </c>
      <c r="H53" s="11" t="s">
        <v>46</v>
      </c>
      <c r="I53" s="11" t="s">
        <v>46</v>
      </c>
      <c r="J53" s="11" t="s">
        <v>47</v>
      </c>
      <c r="K53" s="11" t="s">
        <v>59</v>
      </c>
      <c r="L53" s="11" t="s">
        <v>74</v>
      </c>
      <c r="M53" s="11" t="s">
        <v>50</v>
      </c>
      <c r="N53" s="11" t="s">
        <v>51</v>
      </c>
      <c r="O53" s="13" t="str">
        <f aca="false">IF(AND(R53&gt;600,Q53&gt;20000),"OBEDECE",IF(AND(R53&gt;300,Q53&gt;=10000,Q53&lt;=20000),"OBEDECE",IF(AND(R53&gt;150,Q53&gt;=5000,Q53&lt;=9999),"OBEDECE",IF(AND(R53&gt;60,Q53&gt;=2000,Q53&lt;=4999),"OBEDECE",IF(AND(R53&gt;30,Q53&gt;=1000,Q53&lt;=1999),"OBEDECE",IF(AND(R53&lt;=29,Q53&lt;=1000),"OBEDECE","NÃO OBEDECE"))))))</f>
        <v>NÃO OBEDECE</v>
      </c>
      <c r="P53" s="3" t="s">
        <v>62</v>
      </c>
      <c r="Q53" s="4" t="n">
        <v>24765</v>
      </c>
      <c r="R53" s="4" t="n">
        <v>252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  <c r="AH53" s="14" t="n">
        <v>0</v>
      </c>
      <c r="AI53" s="14" t="n">
        <v>0</v>
      </c>
      <c r="AJ53" s="14" t="n">
        <v>0</v>
      </c>
      <c r="AK53" s="14" t="n">
        <v>0</v>
      </c>
      <c r="AL53" s="14" t="n">
        <v>0</v>
      </c>
      <c r="AM53" s="14" t="n">
        <v>0</v>
      </c>
    </row>
    <row r="54" customFormat="false" ht="15" hidden="false" customHeight="false" outlineLevel="0" collapsed="false">
      <c r="A54" s="11" t="s">
        <v>152</v>
      </c>
      <c r="B54" s="11" t="s">
        <v>54</v>
      </c>
      <c r="C54" s="11" t="s">
        <v>66</v>
      </c>
      <c r="D54" s="11" t="s">
        <v>55</v>
      </c>
      <c r="E54" s="11" t="s">
        <v>118</v>
      </c>
      <c r="F54" s="11" t="s">
        <v>57</v>
      </c>
      <c r="G54" s="15" t="s">
        <v>153</v>
      </c>
      <c r="H54" s="11" t="s">
        <v>46</v>
      </c>
      <c r="I54" s="11" t="s">
        <v>46</v>
      </c>
      <c r="J54" s="11" t="s">
        <v>47</v>
      </c>
      <c r="K54" s="11" t="s">
        <v>59</v>
      </c>
      <c r="L54" s="11" t="s">
        <v>49</v>
      </c>
      <c r="M54" s="11" t="s">
        <v>60</v>
      </c>
      <c r="N54" s="11" t="s">
        <v>71</v>
      </c>
      <c r="O54" s="13" t="str">
        <f aca="false">IF(AND(R54&gt;600,Q54&gt;20000),"OBEDECE",IF(AND(R54&gt;300,Q54&gt;=10000,Q54&lt;=20000),"OBEDECE",IF(AND(R54&gt;150,Q54&gt;=5000,Q54&lt;=9999),"OBEDECE",IF(AND(R54&gt;60,Q54&gt;=2000,Q54&lt;=4999),"OBEDECE",IF(AND(R54&gt;30,Q54&gt;=1000,Q54&lt;=1999),"OBEDECE",IF(AND(R54&lt;=29,Q54&lt;=1000),"OBEDECE","NÃO OBEDECE"))))))</f>
        <v>OBEDECE</v>
      </c>
      <c r="P54" s="3" t="s">
        <v>68</v>
      </c>
      <c r="Q54" s="4" t="n">
        <v>7765</v>
      </c>
      <c r="R54" s="4" t="n">
        <v>249</v>
      </c>
      <c r="S54" s="14" t="n">
        <v>0</v>
      </c>
      <c r="T54" s="14" t="n">
        <v>0</v>
      </c>
      <c r="U54" s="14" t="n">
        <v>1</v>
      </c>
      <c r="V54" s="14" t="n">
        <v>1</v>
      </c>
      <c r="W54" s="14" t="n">
        <v>0</v>
      </c>
      <c r="X54" s="14" t="n">
        <v>1</v>
      </c>
      <c r="Y54" s="14" t="n">
        <v>0</v>
      </c>
      <c r="Z54" s="14" t="n">
        <v>1</v>
      </c>
      <c r="AA54" s="14" t="n">
        <v>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</row>
    <row r="55" customFormat="false" ht="15" hidden="false" customHeight="false" outlineLevel="0" collapsed="false">
      <c r="A55" s="11" t="s">
        <v>154</v>
      </c>
      <c r="B55" s="11" t="s">
        <v>40</v>
      </c>
      <c r="C55" s="11" t="s">
        <v>66</v>
      </c>
      <c r="D55" s="11" t="s">
        <v>42</v>
      </c>
      <c r="E55" s="11" t="s">
        <v>118</v>
      </c>
      <c r="F55" s="11" t="s">
        <v>57</v>
      </c>
      <c r="G55" s="15" t="s">
        <v>155</v>
      </c>
      <c r="H55" s="11" t="s">
        <v>46</v>
      </c>
      <c r="I55" s="11" t="s">
        <v>46</v>
      </c>
      <c r="J55" s="11" t="s">
        <v>47</v>
      </c>
      <c r="K55" s="11" t="s">
        <v>59</v>
      </c>
      <c r="L55" s="11" t="s">
        <v>74</v>
      </c>
      <c r="M55" s="11" t="s">
        <v>50</v>
      </c>
      <c r="N55" s="11" t="s">
        <v>71</v>
      </c>
      <c r="O55" s="13" t="str">
        <f aca="false">IF(AND(R55&gt;600,Q55&gt;20000),"OBEDECE",IF(AND(R55&gt;300,Q55&gt;=10000,Q55&lt;=20000),"OBEDECE",IF(AND(R55&gt;150,Q55&gt;=5000,Q55&lt;=9999),"OBEDECE",IF(AND(R55&gt;60,Q55&gt;=2000,Q55&lt;=4999),"OBEDECE",IF(AND(R55&gt;30,Q55&gt;=1000,Q55&lt;=1999),"OBEDECE",IF(AND(R55&lt;=29,Q55&lt;=1000),"OBEDECE","NÃO OBEDECE"))))))</f>
        <v>OBEDECE</v>
      </c>
      <c r="P55" s="3" t="s">
        <v>62</v>
      </c>
      <c r="Q55" s="4" t="n">
        <v>6415</v>
      </c>
      <c r="R55" s="4" t="n">
        <v>324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</row>
    <row r="56" customFormat="false" ht="15" hidden="false" customHeight="false" outlineLevel="0" collapsed="false">
      <c r="A56" s="11" t="s">
        <v>156</v>
      </c>
      <c r="B56" s="11" t="s">
        <v>54</v>
      </c>
      <c r="C56" s="11" t="s">
        <v>41</v>
      </c>
      <c r="D56" s="11" t="s">
        <v>42</v>
      </c>
      <c r="E56" s="11" t="s">
        <v>118</v>
      </c>
      <c r="F56" s="11" t="s">
        <v>57</v>
      </c>
      <c r="G56" s="15" t="s">
        <v>95</v>
      </c>
      <c r="H56" s="11" t="s">
        <v>46</v>
      </c>
      <c r="I56" s="11" t="s">
        <v>46</v>
      </c>
      <c r="J56" s="11" t="s">
        <v>47</v>
      </c>
      <c r="K56" s="11" t="s">
        <v>59</v>
      </c>
      <c r="L56" s="11" t="s">
        <v>74</v>
      </c>
      <c r="M56" s="11" t="s">
        <v>60</v>
      </c>
      <c r="N56" s="11" t="s">
        <v>51</v>
      </c>
      <c r="O56" s="13" t="str">
        <f aca="false">IF(AND(R56&gt;600,Q56&gt;20000),"OBEDECE",IF(AND(R56&gt;300,Q56&gt;=10000,Q56&lt;=20000),"OBEDECE",IF(AND(R56&gt;150,Q56&gt;=5000,Q56&lt;=9999),"OBEDECE",IF(AND(R56&gt;60,Q56&gt;=2000,Q56&lt;=4999),"OBEDECE",IF(AND(R56&gt;30,Q56&gt;=1000,Q56&lt;=1999),"OBEDECE",IF(AND(R56&lt;=29,Q56&lt;=1000),"OBEDECE","NÃO OBEDECE"))))))</f>
        <v>NÃO OBEDECE</v>
      </c>
      <c r="P56" s="3" t="s">
        <v>68</v>
      </c>
      <c r="Q56" s="4" t="n">
        <v>32683</v>
      </c>
      <c r="R56" s="4" t="n">
        <v>287</v>
      </c>
      <c r="S56" s="14" t="n">
        <v>0</v>
      </c>
      <c r="T56" s="14" t="n">
        <v>0</v>
      </c>
      <c r="U56" s="14" t="n">
        <v>0</v>
      </c>
      <c r="V56" s="14" t="n">
        <v>1</v>
      </c>
      <c r="W56" s="14" t="n">
        <v>0</v>
      </c>
      <c r="X56" s="14" t="n">
        <v>3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</row>
    <row r="57" customFormat="false" ht="15" hidden="false" customHeight="false" outlineLevel="0" collapsed="false">
      <c r="A57" s="11" t="s">
        <v>157</v>
      </c>
      <c r="B57" s="11" t="s">
        <v>54</v>
      </c>
      <c r="C57" s="11" t="s">
        <v>66</v>
      </c>
      <c r="D57" s="11" t="s">
        <v>42</v>
      </c>
      <c r="E57" s="11" t="s">
        <v>118</v>
      </c>
      <c r="F57" s="11" t="s">
        <v>57</v>
      </c>
      <c r="G57" s="12" t="s">
        <v>58</v>
      </c>
      <c r="H57" s="11" t="s">
        <v>46</v>
      </c>
      <c r="I57" s="11" t="s">
        <v>46</v>
      </c>
      <c r="J57" s="11" t="s">
        <v>47</v>
      </c>
      <c r="K57" s="11" t="s">
        <v>59</v>
      </c>
      <c r="L57" s="11" t="s">
        <v>74</v>
      </c>
      <c r="M57" s="11" t="s">
        <v>60</v>
      </c>
      <c r="N57" s="11" t="s">
        <v>51</v>
      </c>
      <c r="O57" s="13" t="str">
        <f aca="false">IF(AND(R57&gt;600,Q57&gt;20000),"OBEDECE",IF(AND(R57&gt;300,Q57&gt;=10000,Q57&lt;=20000),"OBEDECE",IF(AND(R57&gt;150,Q57&gt;=5000,Q57&lt;=9999),"OBEDECE",IF(AND(R57&gt;60,Q57&gt;=2000,Q57&lt;=4999),"OBEDECE",IF(AND(R57&gt;30,Q57&gt;=1000,Q57&lt;=1999),"OBEDECE",IF(AND(R57&lt;=29,Q57&lt;=1000),"OBEDECE","NÃO OBEDECE"))))))</f>
        <v>NÃO OBEDECE</v>
      </c>
      <c r="P57" s="3" t="s">
        <v>68</v>
      </c>
      <c r="Q57" s="4" t="n">
        <v>31025</v>
      </c>
      <c r="R57" s="4" t="n">
        <v>302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1</v>
      </c>
      <c r="AG57" s="14" t="n">
        <v>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</row>
    <row r="58" customFormat="false" ht="15" hidden="false" customHeight="false" outlineLevel="0" collapsed="false">
      <c r="A58" s="11" t="s">
        <v>158</v>
      </c>
      <c r="B58" s="11" t="s">
        <v>40</v>
      </c>
      <c r="C58" s="11" t="s">
        <v>41</v>
      </c>
      <c r="D58" s="11" t="s">
        <v>42</v>
      </c>
      <c r="E58" s="11" t="s">
        <v>118</v>
      </c>
      <c r="F58" s="11" t="s">
        <v>57</v>
      </c>
      <c r="G58" s="12" t="s">
        <v>159</v>
      </c>
      <c r="H58" s="11" t="s">
        <v>46</v>
      </c>
      <c r="I58" s="11" t="s">
        <v>46</v>
      </c>
      <c r="J58" s="11" t="s">
        <v>47</v>
      </c>
      <c r="K58" s="11" t="s">
        <v>59</v>
      </c>
      <c r="L58" s="11" t="s">
        <v>74</v>
      </c>
      <c r="M58" s="11" t="s">
        <v>50</v>
      </c>
      <c r="N58" s="11" t="s">
        <v>51</v>
      </c>
      <c r="O58" s="13" t="str">
        <f aca="false">IF(AND(R58&gt;600,Q58&gt;20000),"OBEDECE",IF(AND(R58&gt;300,Q58&gt;=10000,Q58&lt;=20000),"OBEDECE",IF(AND(R58&gt;150,Q58&gt;=5000,Q58&lt;=9999),"OBEDECE",IF(AND(R58&gt;60,Q58&gt;=2000,Q58&lt;=4999),"OBEDECE",IF(AND(R58&gt;30,Q58&gt;=1000,Q58&lt;=1999),"OBEDECE",IF(AND(R58&lt;=29,Q58&lt;=1000),"OBEDECE","NÃO OBEDECE"))))))</f>
        <v>OBEDECE</v>
      </c>
      <c r="P58" s="3" t="s">
        <v>52</v>
      </c>
      <c r="Q58" s="4" t="n">
        <v>40249</v>
      </c>
      <c r="R58" s="4" t="n">
        <v>623</v>
      </c>
      <c r="S58" s="14" t="n">
        <v>0</v>
      </c>
      <c r="T58" s="14" t="n">
        <v>0</v>
      </c>
      <c r="U58" s="14" t="n">
        <v>1</v>
      </c>
      <c r="V58" s="14" t="n">
        <v>1</v>
      </c>
      <c r="W58" s="14" t="n">
        <v>0</v>
      </c>
      <c r="X58" s="14" t="n">
        <v>0</v>
      </c>
      <c r="Y58" s="14" t="n">
        <v>0</v>
      </c>
      <c r="Z58" s="14" t="n">
        <v>1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1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1</v>
      </c>
      <c r="AL58" s="14" t="n">
        <v>0</v>
      </c>
      <c r="AM58" s="14" t="n">
        <v>0</v>
      </c>
    </row>
    <row r="59" customFormat="false" ht="15" hidden="false" customHeight="false" outlineLevel="0" collapsed="false">
      <c r="A59" s="11" t="s">
        <v>160</v>
      </c>
      <c r="B59" s="11" t="s">
        <v>40</v>
      </c>
      <c r="C59" s="11" t="s">
        <v>66</v>
      </c>
      <c r="D59" s="11" t="s">
        <v>55</v>
      </c>
      <c r="E59" s="11" t="s">
        <v>118</v>
      </c>
      <c r="F59" s="11" t="s">
        <v>57</v>
      </c>
      <c r="G59" s="12" t="s">
        <v>161</v>
      </c>
      <c r="H59" s="11" t="s">
        <v>46</v>
      </c>
      <c r="I59" s="11" t="s">
        <v>46</v>
      </c>
      <c r="J59" s="11" t="s">
        <v>47</v>
      </c>
      <c r="K59" s="11" t="s">
        <v>48</v>
      </c>
      <c r="L59" s="11" t="s">
        <v>49</v>
      </c>
      <c r="M59" s="11" t="s">
        <v>60</v>
      </c>
      <c r="N59" s="11" t="s">
        <v>71</v>
      </c>
      <c r="O59" s="13" t="str">
        <f aca="false">IF(AND(R59&gt;600,Q59&gt;20000),"OBEDECE",IF(AND(R59&gt;300,Q59&gt;=10000,Q59&lt;=20000),"OBEDECE",IF(AND(R59&gt;150,Q59&gt;=5000,Q59&lt;=9999),"OBEDECE",IF(AND(R59&gt;60,Q59&gt;=2000,Q59&lt;=4999),"OBEDECE",IF(AND(R59&gt;30,Q59&gt;=1000,Q59&lt;=1999),"OBEDECE",IF(AND(R59&lt;=29,Q59&lt;=1000),"OBEDECE","NÃO OBEDECE"))))))</f>
        <v>OBEDECE</v>
      </c>
      <c r="P59" s="3" t="s">
        <v>62</v>
      </c>
      <c r="Q59" s="4" t="n">
        <v>7408</v>
      </c>
      <c r="R59" s="4" t="n">
        <v>202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</row>
    <row r="60" customFormat="false" ht="15" hidden="false" customHeight="false" outlineLevel="0" collapsed="false">
      <c r="A60" s="11" t="s">
        <v>162</v>
      </c>
      <c r="B60" s="11" t="s">
        <v>40</v>
      </c>
      <c r="C60" s="11" t="s">
        <v>66</v>
      </c>
      <c r="D60" s="11" t="s">
        <v>42</v>
      </c>
      <c r="E60" s="11" t="s">
        <v>118</v>
      </c>
      <c r="F60" s="11" t="s">
        <v>57</v>
      </c>
      <c r="G60" s="15" t="s">
        <v>120</v>
      </c>
      <c r="H60" s="11" t="s">
        <v>46</v>
      </c>
      <c r="I60" s="11" t="s">
        <v>46</v>
      </c>
      <c r="J60" s="11" t="s">
        <v>47</v>
      </c>
      <c r="K60" s="11" t="s">
        <v>48</v>
      </c>
      <c r="L60" s="11" t="s">
        <v>49</v>
      </c>
      <c r="M60" s="11" t="s">
        <v>50</v>
      </c>
      <c r="N60" s="11" t="s">
        <v>71</v>
      </c>
      <c r="O60" s="13" t="str">
        <f aca="false">IF(AND(R60&gt;600,Q60&gt;20000),"OBEDECE",IF(AND(R60&gt;300,Q60&gt;=10000,Q60&lt;=20000),"OBEDECE",IF(AND(R60&gt;150,Q60&gt;=5000,Q60&lt;=9999),"OBEDECE",IF(AND(R60&gt;60,Q60&gt;=2000,Q60&lt;=4999),"OBEDECE",IF(AND(R60&gt;30,Q60&gt;=1000,Q60&lt;=1999),"OBEDECE",IF(AND(R60&lt;=29,Q60&lt;=1000),"OBEDECE","NÃO OBEDECE"))))))</f>
        <v>NÃO OBEDECE</v>
      </c>
      <c r="P60" s="3" t="s">
        <v>62</v>
      </c>
      <c r="Q60" s="4" t="n">
        <v>7140</v>
      </c>
      <c r="R60" s="4" t="n">
        <v>150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</row>
    <row r="61" customFormat="false" ht="15" hidden="false" customHeight="false" outlineLevel="0" collapsed="false">
      <c r="A61" s="11" t="s">
        <v>163</v>
      </c>
      <c r="B61" s="11" t="s">
        <v>40</v>
      </c>
      <c r="C61" s="11" t="s">
        <v>41</v>
      </c>
      <c r="D61" s="11" t="s">
        <v>55</v>
      </c>
      <c r="E61" s="11" t="s">
        <v>118</v>
      </c>
      <c r="F61" s="11" t="s">
        <v>57</v>
      </c>
      <c r="G61" s="15" t="s">
        <v>164</v>
      </c>
      <c r="H61" s="11" t="s">
        <v>46</v>
      </c>
      <c r="I61" s="11" t="s">
        <v>46</v>
      </c>
      <c r="J61" s="11" t="s">
        <v>47</v>
      </c>
      <c r="K61" s="11" t="s">
        <v>48</v>
      </c>
      <c r="L61" s="11" t="s">
        <v>49</v>
      </c>
      <c r="M61" s="11" t="s">
        <v>60</v>
      </c>
      <c r="N61" s="11" t="s">
        <v>123</v>
      </c>
      <c r="O61" s="13" t="str">
        <f aca="false">IF(AND(R61&gt;600,Q61&gt;20000),"OBEDECE",IF(AND(R61&gt;300,Q61&gt;=10000,Q61&lt;=20000),"OBEDECE",IF(AND(R61&gt;150,Q61&gt;=5000,Q61&lt;=9999),"OBEDECE",IF(AND(R61&gt;60,Q61&gt;=2000,Q61&lt;=4999),"OBEDECE",IF(AND(R61&gt;30,Q61&gt;=1000,Q61&lt;=1999),"OBEDECE",IF(AND(R61&lt;=29,Q61&lt;=1000),"OBEDECE","NÃO OBEDECE"))))))</f>
        <v>OBEDECE</v>
      </c>
      <c r="P61" s="3" t="s">
        <v>52</v>
      </c>
      <c r="Q61" s="4" t="n">
        <v>4152</v>
      </c>
      <c r="R61" s="4" t="n">
        <v>161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1</v>
      </c>
    </row>
    <row r="62" customFormat="false" ht="15" hidden="false" customHeight="false" outlineLevel="0" collapsed="false">
      <c r="A62" s="11" t="s">
        <v>165</v>
      </c>
      <c r="B62" s="11" t="s">
        <v>40</v>
      </c>
      <c r="C62" s="11" t="s">
        <v>41</v>
      </c>
      <c r="D62" s="11" t="s">
        <v>42</v>
      </c>
      <c r="E62" s="11" t="s">
        <v>118</v>
      </c>
      <c r="F62" s="11" t="s">
        <v>57</v>
      </c>
      <c r="G62" s="12" t="s">
        <v>166</v>
      </c>
      <c r="H62" s="11" t="s">
        <v>46</v>
      </c>
      <c r="I62" s="11" t="s">
        <v>46</v>
      </c>
      <c r="J62" s="11" t="s">
        <v>47</v>
      </c>
      <c r="K62" s="11" t="s">
        <v>48</v>
      </c>
      <c r="L62" s="11" t="s">
        <v>49</v>
      </c>
      <c r="M62" s="11" t="s">
        <v>60</v>
      </c>
      <c r="N62" s="11" t="s">
        <v>71</v>
      </c>
      <c r="O62" s="13" t="str">
        <f aca="false">IF(AND(R62&gt;600,Q62&gt;20000),"OBEDECE",IF(AND(R62&gt;300,Q62&gt;=10000,Q62&lt;=20000),"OBEDECE",IF(AND(R62&gt;150,Q62&gt;=5000,Q62&lt;=9999),"OBEDECE",IF(AND(R62&gt;60,Q62&gt;=2000,Q62&lt;=4999),"OBEDECE",IF(AND(R62&gt;30,Q62&gt;=1000,Q62&lt;=1999),"OBEDECE",IF(AND(R62&lt;=29,Q62&lt;=1000),"OBEDECE","NÃO OBEDECE"))))))</f>
        <v>OBEDECE</v>
      </c>
      <c r="P62" s="3" t="s">
        <v>68</v>
      </c>
      <c r="Q62" s="4" t="n">
        <v>5642</v>
      </c>
      <c r="R62" s="4" t="n">
        <v>197</v>
      </c>
      <c r="S62" s="14" t="n">
        <v>0</v>
      </c>
      <c r="T62" s="14" t="n">
        <v>1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</row>
    <row r="63" customFormat="false" ht="15" hidden="true" customHeight="false" outlineLevel="0" collapsed="false">
      <c r="A63" s="11" t="s">
        <v>167</v>
      </c>
      <c r="B63" s="11" t="s">
        <v>54</v>
      </c>
      <c r="C63" s="11" t="s">
        <v>41</v>
      </c>
      <c r="D63" s="11" t="s">
        <v>55</v>
      </c>
      <c r="E63" s="11" t="s">
        <v>56</v>
      </c>
      <c r="F63" s="11" t="s">
        <v>57</v>
      </c>
      <c r="G63" s="12"/>
      <c r="H63" s="11" t="s">
        <v>46</v>
      </c>
      <c r="I63" s="11" t="s">
        <v>47</v>
      </c>
      <c r="J63" s="11" t="s">
        <v>47</v>
      </c>
      <c r="K63" s="11" t="s">
        <v>48</v>
      </c>
      <c r="L63" s="11" t="s">
        <v>49</v>
      </c>
      <c r="M63" s="11" t="s">
        <v>60</v>
      </c>
      <c r="N63" s="11" t="s">
        <v>130</v>
      </c>
      <c r="O63" s="13" t="str">
        <f aca="false">IF(AND(R63&gt;600,Q63&gt;20000),"OBEDECE",IF(AND(R63&gt;300,Q63&gt;=10000,Q63&lt;=20000),"OBEDECE",IF(AND(R63&gt;150,Q63&gt;=5000,Q63&lt;=9999),"OBEDECE",IF(AND(R63&gt;60,Q63&gt;=2000,Q63&lt;=4999),"OBEDECE",IF(AND(R63&gt;30,Q63&gt;=1000,Q63&lt;=1999),"OBEDECE",IF(AND(R63&lt;=29,Q63&lt;=1000),"OBEDECE","NÃO OBEDECE"))))))</f>
        <v>NÃO OBEDECE</v>
      </c>
      <c r="P63" s="3" t="s">
        <v>62</v>
      </c>
      <c r="Q63" s="4" t="n">
        <v>1998</v>
      </c>
      <c r="R63" s="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</row>
    <row r="64" customFormat="false" ht="15" hidden="true" customHeight="false" outlineLevel="0" collapsed="false">
      <c r="A64" s="11" t="s">
        <v>168</v>
      </c>
      <c r="B64" s="11" t="s">
        <v>54</v>
      </c>
      <c r="C64" s="11" t="s">
        <v>41</v>
      </c>
      <c r="D64" s="11" t="s">
        <v>55</v>
      </c>
      <c r="E64" s="11" t="s">
        <v>56</v>
      </c>
      <c r="F64" s="11" t="s">
        <v>44</v>
      </c>
      <c r="G64" s="12"/>
      <c r="H64" s="11" t="s">
        <v>46</v>
      </c>
      <c r="I64" s="11" t="s">
        <v>47</v>
      </c>
      <c r="J64" s="11" t="s">
        <v>47</v>
      </c>
      <c r="K64" s="11" t="s">
        <v>48</v>
      </c>
      <c r="L64" s="11" t="s">
        <v>49</v>
      </c>
      <c r="M64" s="11" t="s">
        <v>60</v>
      </c>
      <c r="N64" s="11" t="s">
        <v>71</v>
      </c>
      <c r="O64" s="13" t="str">
        <f aca="false">IF(AND(R64&gt;600,Q64&gt;20000),"OBEDECE",IF(AND(R64&gt;300,Q64&gt;=10000,Q64&lt;=20000),"OBEDECE",IF(AND(R64&gt;150,Q64&gt;=5000,Q64&lt;=9999),"OBEDECE",IF(AND(R64&gt;60,Q64&gt;=2000,Q64&lt;=4999),"OBEDECE",IF(AND(R64&gt;30,Q64&gt;=1000,Q64&lt;=1999),"OBEDECE",IF(AND(R64&lt;=29,Q64&lt;=1000),"OBEDECE","NÃO OBEDECE"))))))</f>
        <v>NÃO OBEDECE</v>
      </c>
      <c r="P64" s="3" t="s">
        <v>62</v>
      </c>
      <c r="Q64" s="4" t="n">
        <v>5638</v>
      </c>
      <c r="R64" s="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</row>
    <row r="65" customFormat="false" ht="15" hidden="false" customHeight="false" outlineLevel="0" collapsed="false">
      <c r="A65" s="11" t="s">
        <v>169</v>
      </c>
      <c r="B65" s="11" t="s">
        <v>40</v>
      </c>
      <c r="C65" s="11" t="s">
        <v>66</v>
      </c>
      <c r="D65" s="11" t="s">
        <v>55</v>
      </c>
      <c r="E65" s="11" t="s">
        <v>118</v>
      </c>
      <c r="F65" s="11" t="s">
        <v>57</v>
      </c>
      <c r="G65" s="12" t="s">
        <v>170</v>
      </c>
      <c r="H65" s="11" t="s">
        <v>171</v>
      </c>
      <c r="I65" s="11" t="s">
        <v>46</v>
      </c>
      <c r="J65" s="11" t="s">
        <v>47</v>
      </c>
      <c r="K65" s="11" t="s">
        <v>48</v>
      </c>
      <c r="L65" s="11" t="s">
        <v>49</v>
      </c>
      <c r="M65" s="11" t="s">
        <v>50</v>
      </c>
      <c r="N65" s="11" t="s">
        <v>71</v>
      </c>
      <c r="O65" s="13" t="str">
        <f aca="false">IF(AND(R65&gt;600,Q65&gt;20000),"OBEDECE",IF(AND(R65&gt;300,Q65&gt;=10000,Q65&lt;=20000),"OBEDECE",IF(AND(R65&gt;150,Q65&gt;=5000,Q65&lt;=9999),"OBEDECE",IF(AND(R65&gt;60,Q65&gt;=2000,Q65&lt;=4999),"OBEDECE",IF(AND(R65&gt;30,Q65&gt;=1000,Q65&lt;=1999),"OBEDECE",IF(AND(R65&lt;=29,Q65&lt;=1000),"OBEDECE","NÃO OBEDECE"))))))</f>
        <v>OBEDECE</v>
      </c>
      <c r="P65" s="3" t="s">
        <v>62</v>
      </c>
      <c r="Q65" s="4" t="n">
        <v>6773</v>
      </c>
      <c r="R65" s="4" t="n">
        <v>156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</row>
    <row r="66" customFormat="false" ht="15" hidden="false" customHeight="false" outlineLevel="0" collapsed="false">
      <c r="A66" s="10" t="s">
        <v>172</v>
      </c>
      <c r="B66" s="11" t="s">
        <v>40</v>
      </c>
      <c r="C66" s="11" t="s">
        <v>66</v>
      </c>
      <c r="D66" s="11" t="s">
        <v>42</v>
      </c>
      <c r="E66" s="11" t="s">
        <v>56</v>
      </c>
      <c r="F66" s="11" t="s">
        <v>44</v>
      </c>
      <c r="G66" s="12" t="s">
        <v>45</v>
      </c>
      <c r="H66" s="11" t="s">
        <v>171</v>
      </c>
      <c r="I66" s="11" t="s">
        <v>47</v>
      </c>
      <c r="J66" s="11" t="s">
        <v>46</v>
      </c>
      <c r="K66" s="11" t="s">
        <v>48</v>
      </c>
      <c r="L66" s="11" t="s">
        <v>49</v>
      </c>
      <c r="M66" s="11" t="s">
        <v>50</v>
      </c>
      <c r="N66" s="11" t="s">
        <v>61</v>
      </c>
      <c r="O66" s="13" t="str">
        <f aca="false">IF(AND(R66&gt;600,Q66&gt;20000),"OBEDECE",IF(AND(R66&gt;300,Q66&gt;=10000,Q66&lt;=20000),"OBEDECE",IF(AND(R66&gt;150,Q66&gt;=5000,Q66&lt;=9999),"OBEDECE",IF(AND(R66&gt;60,Q66&gt;=2000,Q66&lt;=4999),"OBEDECE",IF(AND(R66&gt;30,Q66&gt;=1000,Q66&lt;=1999),"OBEDECE",IF(AND(R66&lt;=29,Q66&lt;=1000),"OBEDECE","NÃO OBEDECE"))))))</f>
        <v>OBEDECE</v>
      </c>
      <c r="P66" s="3" t="s">
        <v>62</v>
      </c>
      <c r="Q66" s="4" t="n">
        <v>17208</v>
      </c>
      <c r="R66" s="4" t="n">
        <v>462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</row>
    <row r="67" customFormat="false" ht="15" hidden="true" customHeight="false" outlineLevel="0" collapsed="false">
      <c r="A67" s="11" t="s">
        <v>173</v>
      </c>
      <c r="B67" s="11" t="s">
        <v>54</v>
      </c>
      <c r="C67" s="11" t="s">
        <v>41</v>
      </c>
      <c r="D67" s="11" t="s">
        <v>55</v>
      </c>
      <c r="E67" s="11" t="s">
        <v>56</v>
      </c>
      <c r="F67" s="11" t="s">
        <v>57</v>
      </c>
      <c r="G67" s="12"/>
      <c r="H67" s="11" t="s">
        <v>171</v>
      </c>
      <c r="I67" s="11" t="s">
        <v>47</v>
      </c>
      <c r="J67" s="11" t="s">
        <v>47</v>
      </c>
      <c r="K67" s="11" t="s">
        <v>48</v>
      </c>
      <c r="L67" s="11" t="s">
        <v>49</v>
      </c>
      <c r="M67" s="11" t="s">
        <v>60</v>
      </c>
      <c r="N67" s="11" t="s">
        <v>130</v>
      </c>
      <c r="O67" s="13" t="str">
        <f aca="false">IF(AND(R67&gt;600,Q67&gt;20000),"OBEDECE",IF(AND(R67&gt;300,Q67&gt;=10000,Q67&lt;=20000),"OBEDECE",IF(AND(R67&gt;150,Q67&gt;=5000,Q67&lt;=9999),"OBEDECE",IF(AND(R67&gt;60,Q67&gt;=2000,Q67&lt;=4999),"OBEDECE",IF(AND(R67&gt;30,Q67&gt;=1000,Q67&lt;=1999),"OBEDECE",IF(AND(R67&lt;=29,Q67&lt;=1000),"OBEDECE","NÃO OBEDECE"))))))</f>
        <v>NÃO OBEDECE</v>
      </c>
      <c r="P67" s="3" t="s">
        <v>62</v>
      </c>
      <c r="Q67" s="4" t="n">
        <v>1514</v>
      </c>
      <c r="R67" s="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</row>
    <row r="68" customFormat="false" ht="15" hidden="false" customHeight="false" outlineLevel="0" collapsed="false">
      <c r="A68" s="11" t="s">
        <v>174</v>
      </c>
      <c r="B68" s="11" t="s">
        <v>40</v>
      </c>
      <c r="C68" s="11" t="s">
        <v>41</v>
      </c>
      <c r="D68" s="11" t="s">
        <v>42</v>
      </c>
      <c r="E68" s="11" t="s">
        <v>118</v>
      </c>
      <c r="F68" s="11" t="s">
        <v>57</v>
      </c>
      <c r="G68" s="12" t="s">
        <v>175</v>
      </c>
      <c r="H68" s="11" t="s">
        <v>171</v>
      </c>
      <c r="I68" s="11" t="s">
        <v>46</v>
      </c>
      <c r="J68" s="11" t="s">
        <v>47</v>
      </c>
      <c r="K68" s="11" t="s">
        <v>48</v>
      </c>
      <c r="L68" s="11" t="s">
        <v>49</v>
      </c>
      <c r="M68" s="11" t="s">
        <v>60</v>
      </c>
      <c r="N68" s="11" t="s">
        <v>71</v>
      </c>
      <c r="O68" s="13" t="str">
        <f aca="false">IF(AND(R68&gt;600,Q68&gt;20000),"OBEDECE",IF(AND(R68&gt;300,Q68&gt;=10000,Q68&lt;=20000),"OBEDECE",IF(AND(R68&gt;150,Q68&gt;=5000,Q68&lt;=9999),"OBEDECE",IF(AND(R68&gt;60,Q68&gt;=2000,Q68&lt;=4999),"OBEDECE",IF(AND(R68&gt;30,Q68&gt;=1000,Q68&lt;=1999),"OBEDECE",IF(AND(R68&lt;=29,Q68&lt;=1000),"OBEDECE","NÃO OBEDECE"))))))</f>
        <v>NÃO OBEDECE</v>
      </c>
      <c r="P68" s="3" t="s">
        <v>62</v>
      </c>
      <c r="Q68" s="4" t="n">
        <v>6937</v>
      </c>
      <c r="R68" s="4" t="n">
        <v>150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</row>
    <row r="69" customFormat="false" ht="15" hidden="false" customHeight="false" outlineLevel="0" collapsed="false">
      <c r="A69" s="10" t="s">
        <v>176</v>
      </c>
      <c r="B69" s="11" t="s">
        <v>40</v>
      </c>
      <c r="C69" s="11" t="s">
        <v>66</v>
      </c>
      <c r="D69" s="11" t="s">
        <v>42</v>
      </c>
      <c r="E69" s="11" t="s">
        <v>118</v>
      </c>
      <c r="F69" s="11" t="s">
        <v>57</v>
      </c>
      <c r="G69" s="12" t="s">
        <v>64</v>
      </c>
      <c r="H69" s="11" t="s">
        <v>171</v>
      </c>
      <c r="I69" s="11" t="s">
        <v>46</v>
      </c>
      <c r="J69" s="11" t="s">
        <v>46</v>
      </c>
      <c r="K69" s="11" t="s">
        <v>48</v>
      </c>
      <c r="L69" s="11" t="s">
        <v>49</v>
      </c>
      <c r="M69" s="11" t="s">
        <v>50</v>
      </c>
      <c r="N69" s="11" t="s">
        <v>51</v>
      </c>
      <c r="O69" s="13" t="str">
        <f aca="false">IF(AND(R69&gt;600,Q69&gt;20000),"OBEDECE",IF(AND(R69&gt;300,Q69&gt;=10000,Q69&lt;=20000),"OBEDECE",IF(AND(R69&gt;150,Q69&gt;=5000,Q69&lt;=9999),"OBEDECE",IF(AND(R69&gt;60,Q69&gt;=2000,Q69&lt;=4999),"OBEDECE",IF(AND(R69&gt;30,Q69&gt;=1000,Q69&lt;=1999),"OBEDECE",IF(AND(R69&lt;=29,Q69&lt;=1000),"OBEDECE","NÃO OBEDECE"))))))</f>
        <v>NÃO OBEDECE</v>
      </c>
      <c r="P69" s="3" t="s">
        <v>62</v>
      </c>
      <c r="Q69" s="4" t="n">
        <v>25678</v>
      </c>
      <c r="R69" s="4" t="n">
        <v>536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</row>
    <row r="70" customFormat="false" ht="15" hidden="false" customHeight="false" outlineLevel="0" collapsed="false">
      <c r="A70" s="11" t="s">
        <v>177</v>
      </c>
      <c r="B70" s="11" t="s">
        <v>40</v>
      </c>
      <c r="C70" s="11" t="s">
        <v>66</v>
      </c>
      <c r="D70" s="11" t="s">
        <v>42</v>
      </c>
      <c r="E70" s="11" t="s">
        <v>118</v>
      </c>
      <c r="F70" s="11" t="s">
        <v>57</v>
      </c>
      <c r="G70" s="15" t="s">
        <v>178</v>
      </c>
      <c r="H70" s="11" t="s">
        <v>171</v>
      </c>
      <c r="I70" s="11" t="s">
        <v>46</v>
      </c>
      <c r="J70" s="11" t="s">
        <v>47</v>
      </c>
      <c r="K70" s="11" t="s">
        <v>48</v>
      </c>
      <c r="L70" s="11" t="s">
        <v>49</v>
      </c>
      <c r="M70" s="11" t="s">
        <v>60</v>
      </c>
      <c r="N70" s="11" t="s">
        <v>71</v>
      </c>
      <c r="O70" s="13" t="str">
        <f aca="false">IF(AND(R70&gt;600,Q70&gt;20000),"OBEDECE",IF(AND(R70&gt;300,Q70&gt;=10000,Q70&lt;=20000),"OBEDECE",IF(AND(R70&gt;150,Q70&gt;=5000,Q70&lt;=9999),"OBEDECE",IF(AND(R70&gt;60,Q70&gt;=2000,Q70&lt;=4999),"OBEDECE",IF(AND(R70&gt;30,Q70&gt;=1000,Q70&lt;=1999),"OBEDECE",IF(AND(R70&lt;=29,Q70&lt;=1000),"OBEDECE","NÃO OBEDECE"))))))</f>
        <v>OBEDECE</v>
      </c>
      <c r="P70" s="3" t="s">
        <v>62</v>
      </c>
      <c r="Q70" s="4" t="n">
        <v>8082</v>
      </c>
      <c r="R70" s="4" t="n">
        <v>288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</row>
    <row r="71" customFormat="false" ht="15" hidden="false" customHeight="false" outlineLevel="0" collapsed="false">
      <c r="A71" s="10" t="s">
        <v>179</v>
      </c>
      <c r="B71" s="11" t="s">
        <v>40</v>
      </c>
      <c r="C71" s="11" t="s">
        <v>41</v>
      </c>
      <c r="D71" s="11" t="s">
        <v>42</v>
      </c>
      <c r="E71" s="11" t="s">
        <v>118</v>
      </c>
      <c r="F71" s="11" t="s">
        <v>57</v>
      </c>
      <c r="G71" s="12" t="s">
        <v>64</v>
      </c>
      <c r="H71" s="11" t="s">
        <v>171</v>
      </c>
      <c r="I71" s="11" t="s">
        <v>46</v>
      </c>
      <c r="J71" s="11" t="s">
        <v>46</v>
      </c>
      <c r="K71" s="11" t="s">
        <v>48</v>
      </c>
      <c r="L71" s="11" t="s">
        <v>49</v>
      </c>
      <c r="M71" s="11" t="s">
        <v>50</v>
      </c>
      <c r="N71" s="11" t="s">
        <v>51</v>
      </c>
      <c r="O71" s="13" t="str">
        <f aca="false">IF(AND(R71&gt;600,Q71&gt;20000),"OBEDECE",IF(AND(R71&gt;300,Q71&gt;=10000,Q71&lt;=20000),"OBEDECE",IF(AND(R71&gt;150,Q71&gt;=5000,Q71&lt;=9999),"OBEDECE",IF(AND(R71&gt;60,Q71&gt;=2000,Q71&lt;=4999),"OBEDECE",IF(AND(R71&gt;30,Q71&gt;=1000,Q71&lt;=1999),"OBEDECE",IF(AND(R71&lt;=29,Q71&lt;=1000),"OBEDECE","NÃO OBEDECE"))))))</f>
        <v>NÃO OBEDECE</v>
      </c>
      <c r="P71" s="3" t="s">
        <v>68</v>
      </c>
      <c r="Q71" s="4" t="n">
        <v>32049</v>
      </c>
      <c r="R71" s="4" t="n">
        <v>253</v>
      </c>
      <c r="S71" s="14" t="n">
        <v>0</v>
      </c>
      <c r="T71" s="14" t="n">
        <v>0</v>
      </c>
      <c r="U71" s="14" t="n">
        <v>0</v>
      </c>
      <c r="V71" s="14" t="n">
        <v>2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0</v>
      </c>
      <c r="AJ71" s="14" t="n">
        <v>0</v>
      </c>
      <c r="AK71" s="14" t="n">
        <v>0</v>
      </c>
      <c r="AL71" s="14" t="n">
        <v>0</v>
      </c>
      <c r="AM71" s="14" t="n">
        <v>0</v>
      </c>
    </row>
    <row r="72" customFormat="false" ht="15" hidden="false" customHeight="false" outlineLevel="0" collapsed="false">
      <c r="A72" s="10" t="s">
        <v>180</v>
      </c>
      <c r="B72" s="11" t="s">
        <v>40</v>
      </c>
      <c r="C72" s="11" t="s">
        <v>41</v>
      </c>
      <c r="D72" s="11" t="s">
        <v>42</v>
      </c>
      <c r="E72" s="11" t="s">
        <v>56</v>
      </c>
      <c r="F72" s="11" t="s">
        <v>44</v>
      </c>
      <c r="G72" s="12" t="s">
        <v>45</v>
      </c>
      <c r="H72" s="11" t="s">
        <v>171</v>
      </c>
      <c r="I72" s="11" t="s">
        <v>47</v>
      </c>
      <c r="J72" s="11" t="s">
        <v>46</v>
      </c>
      <c r="K72" s="11" t="s">
        <v>48</v>
      </c>
      <c r="L72" s="11" t="s">
        <v>49</v>
      </c>
      <c r="M72" s="11" t="s">
        <v>50</v>
      </c>
      <c r="N72" s="11" t="s">
        <v>51</v>
      </c>
      <c r="O72" s="13" t="str">
        <f aca="false">IF(AND(R72&gt;600,Q72&gt;20000),"OBEDECE",IF(AND(R72&gt;300,Q72&gt;=10000,Q72&lt;=20000),"OBEDECE",IF(AND(R72&gt;150,Q72&gt;=5000,Q72&lt;=9999),"OBEDECE",IF(AND(R72&gt;60,Q72&gt;=2000,Q72&lt;=4999),"OBEDECE",IF(AND(R72&gt;30,Q72&gt;=1000,Q72&lt;=1999),"OBEDECE",IF(AND(R72&lt;=29,Q72&lt;=1000),"OBEDECE","NÃO OBEDECE"))))))</f>
        <v>NÃO OBEDECE</v>
      </c>
      <c r="P72" s="3" t="s">
        <v>62</v>
      </c>
      <c r="Q72" s="4" t="n">
        <v>22364</v>
      </c>
      <c r="R72" s="4" t="n">
        <v>491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</row>
    <row r="73" customFormat="false" ht="15" hidden="false" customHeight="false" outlineLevel="0" collapsed="false">
      <c r="A73" s="11" t="s">
        <v>181</v>
      </c>
      <c r="B73" s="11" t="s">
        <v>54</v>
      </c>
      <c r="C73" s="11" t="s">
        <v>66</v>
      </c>
      <c r="D73" s="11" t="s">
        <v>55</v>
      </c>
      <c r="E73" s="11" t="s">
        <v>118</v>
      </c>
      <c r="F73" s="11" t="s">
        <v>57</v>
      </c>
      <c r="G73" s="15" t="s">
        <v>182</v>
      </c>
      <c r="H73" s="11" t="s">
        <v>171</v>
      </c>
      <c r="I73" s="11" t="s">
        <v>46</v>
      </c>
      <c r="J73" s="11" t="s">
        <v>47</v>
      </c>
      <c r="K73" s="11" t="s">
        <v>59</v>
      </c>
      <c r="L73" s="11" t="s">
        <v>49</v>
      </c>
      <c r="M73" s="11" t="s">
        <v>60</v>
      </c>
      <c r="N73" s="11" t="s">
        <v>123</v>
      </c>
      <c r="O73" s="13" t="str">
        <f aca="false">IF(AND(R73&gt;600,Q73&gt;20000),"OBEDECE",IF(AND(R73&gt;300,Q73&gt;=10000,Q73&lt;=20000),"OBEDECE",IF(AND(R73&gt;150,Q73&gt;=5000,Q73&lt;=9999),"OBEDECE",IF(AND(R73&gt;60,Q73&gt;=2000,Q73&lt;=4999),"OBEDECE",IF(AND(R73&gt;30,Q73&gt;=1000,Q73&lt;=1999),"OBEDECE",IF(AND(R73&lt;=29,Q73&lt;=1000),"OBEDECE","NÃO OBEDECE"))))))</f>
        <v>OBEDECE</v>
      </c>
      <c r="P73" s="3" t="s">
        <v>62</v>
      </c>
      <c r="Q73" s="4" t="n">
        <v>4948</v>
      </c>
      <c r="R73" s="4" t="n">
        <v>249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</row>
    <row r="74" customFormat="false" ht="15" hidden="false" customHeight="false" outlineLevel="0" collapsed="false">
      <c r="A74" s="11" t="s">
        <v>183</v>
      </c>
      <c r="B74" s="11" t="s">
        <v>40</v>
      </c>
      <c r="C74" s="11" t="s">
        <v>41</v>
      </c>
      <c r="D74" s="11" t="s">
        <v>42</v>
      </c>
      <c r="E74" s="11" t="s">
        <v>118</v>
      </c>
      <c r="F74" s="11" t="s">
        <v>57</v>
      </c>
      <c r="G74" s="12" t="s">
        <v>184</v>
      </c>
      <c r="H74" s="11" t="s">
        <v>171</v>
      </c>
      <c r="I74" s="11" t="s">
        <v>46</v>
      </c>
      <c r="J74" s="11" t="s">
        <v>47</v>
      </c>
      <c r="K74" s="11" t="s">
        <v>59</v>
      </c>
      <c r="L74" s="11" t="s">
        <v>74</v>
      </c>
      <c r="M74" s="11" t="s">
        <v>60</v>
      </c>
      <c r="N74" s="11" t="s">
        <v>61</v>
      </c>
      <c r="O74" s="13" t="str">
        <f aca="false">IF(AND(R74&gt;600,Q74&gt;20000),"OBEDECE",IF(AND(R74&gt;300,Q74&gt;=10000,Q74&lt;=20000),"OBEDECE",IF(AND(R74&gt;150,Q74&gt;=5000,Q74&lt;=9999),"OBEDECE",IF(AND(R74&gt;60,Q74&gt;=2000,Q74&lt;=4999),"OBEDECE",IF(AND(R74&gt;30,Q74&gt;=1000,Q74&lt;=1999),"OBEDECE",IF(AND(R74&lt;=29,Q74&lt;=1000),"OBEDECE","NÃO OBEDECE"))))))</f>
        <v>OBEDECE</v>
      </c>
      <c r="P74" s="3" t="s">
        <v>62</v>
      </c>
      <c r="Q74" s="4" t="n">
        <v>16040</v>
      </c>
      <c r="R74" s="4" t="n">
        <v>327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</row>
    <row r="75" customFormat="false" ht="15" hidden="false" customHeight="false" outlineLevel="0" collapsed="false">
      <c r="A75" s="10" t="s">
        <v>185</v>
      </c>
      <c r="B75" s="11" t="s">
        <v>54</v>
      </c>
      <c r="C75" s="11" t="s">
        <v>41</v>
      </c>
      <c r="D75" s="11" t="s">
        <v>42</v>
      </c>
      <c r="E75" s="11" t="s">
        <v>118</v>
      </c>
      <c r="F75" s="11" t="s">
        <v>57</v>
      </c>
      <c r="G75" s="12" t="s">
        <v>64</v>
      </c>
      <c r="H75" s="11" t="s">
        <v>171</v>
      </c>
      <c r="I75" s="11" t="s">
        <v>46</v>
      </c>
      <c r="J75" s="11" t="s">
        <v>46</v>
      </c>
      <c r="K75" s="11" t="s">
        <v>59</v>
      </c>
      <c r="L75" s="11" t="s">
        <v>74</v>
      </c>
      <c r="M75" s="11" t="s">
        <v>50</v>
      </c>
      <c r="N75" s="11" t="s">
        <v>71</v>
      </c>
      <c r="O75" s="13" t="str">
        <f aca="false">IF(AND(R75&gt;600,Q75&gt;20000),"OBEDECE",IF(AND(R75&gt;300,Q75&gt;=10000,Q75&lt;=20000),"OBEDECE",IF(AND(R75&gt;150,Q75&gt;=5000,Q75&lt;=9999),"OBEDECE",IF(AND(R75&gt;60,Q75&gt;=2000,Q75&lt;=4999),"OBEDECE",IF(AND(R75&gt;30,Q75&gt;=1000,Q75&lt;=1999),"OBEDECE",IF(AND(R75&lt;=29,Q75&lt;=1000),"OBEDECE","NÃO OBEDECE"))))))</f>
        <v>OBEDECE</v>
      </c>
      <c r="P75" s="3" t="s">
        <v>52</v>
      </c>
      <c r="Q75" s="4" t="n">
        <v>7806</v>
      </c>
      <c r="R75" s="4" t="n">
        <v>487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1</v>
      </c>
      <c r="AL75" s="14" t="n">
        <v>0</v>
      </c>
      <c r="AM75" s="14" t="n">
        <v>0</v>
      </c>
    </row>
    <row r="76" customFormat="false" ht="15" hidden="false" customHeight="false" outlineLevel="0" collapsed="false">
      <c r="A76" s="11" t="s">
        <v>186</v>
      </c>
      <c r="B76" s="11" t="s">
        <v>54</v>
      </c>
      <c r="C76" s="11" t="s">
        <v>41</v>
      </c>
      <c r="D76" s="11" t="s">
        <v>55</v>
      </c>
      <c r="E76" s="11" t="s">
        <v>56</v>
      </c>
      <c r="F76" s="11" t="s">
        <v>57</v>
      </c>
      <c r="G76" s="12" t="s">
        <v>187</v>
      </c>
      <c r="H76" s="11" t="s">
        <v>171</v>
      </c>
      <c r="I76" s="11" t="s">
        <v>47</v>
      </c>
      <c r="J76" s="11" t="s">
        <v>47</v>
      </c>
      <c r="K76" s="11" t="s">
        <v>59</v>
      </c>
      <c r="L76" s="11" t="s">
        <v>77</v>
      </c>
      <c r="M76" s="11" t="s">
        <v>60</v>
      </c>
      <c r="N76" s="11" t="s">
        <v>71</v>
      </c>
      <c r="O76" s="13" t="str">
        <f aca="false">IF(AND(R76&gt;600,Q76&gt;20000),"OBEDECE",IF(AND(R76&gt;300,Q76&gt;=10000,Q76&lt;=20000),"OBEDECE",IF(AND(R76&gt;150,Q76&gt;=5000,Q76&lt;=9999),"OBEDECE",IF(AND(R76&gt;60,Q76&gt;=2000,Q76&lt;=4999),"OBEDECE",IF(AND(R76&gt;30,Q76&gt;=1000,Q76&lt;=1999),"OBEDECE",IF(AND(R76&lt;=29,Q76&lt;=1000),"OBEDECE","NÃO OBEDECE"))))))</f>
        <v>OBEDECE</v>
      </c>
      <c r="P76" s="3" t="s">
        <v>62</v>
      </c>
      <c r="Q76" s="4" t="n">
        <v>8166</v>
      </c>
      <c r="R76" s="4" t="n">
        <v>327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</row>
    <row r="77" customFormat="false" ht="15" hidden="false" customHeight="false" outlineLevel="0" collapsed="false">
      <c r="A77" s="11" t="s">
        <v>188</v>
      </c>
      <c r="B77" s="11" t="s">
        <v>54</v>
      </c>
      <c r="C77" s="11" t="s">
        <v>66</v>
      </c>
      <c r="D77" s="11" t="s">
        <v>55</v>
      </c>
      <c r="E77" s="11" t="s">
        <v>56</v>
      </c>
      <c r="F77" s="11" t="s">
        <v>57</v>
      </c>
      <c r="G77" s="12" t="s">
        <v>70</v>
      </c>
      <c r="H77" s="11" t="s">
        <v>171</v>
      </c>
      <c r="I77" s="11" t="s">
        <v>47</v>
      </c>
      <c r="J77" s="11" t="s">
        <v>47</v>
      </c>
      <c r="K77" s="11" t="s">
        <v>59</v>
      </c>
      <c r="L77" s="11" t="s">
        <v>74</v>
      </c>
      <c r="M77" s="11" t="s">
        <v>60</v>
      </c>
      <c r="N77" s="11" t="s">
        <v>61</v>
      </c>
      <c r="O77" s="13" t="str">
        <f aca="false">IF(AND(R77&gt;600,Q77&gt;20000),"OBEDECE",IF(AND(R77&gt;300,Q77&gt;=10000,Q77&lt;=20000),"OBEDECE",IF(AND(R77&gt;150,Q77&gt;=5000,Q77&lt;=9999),"OBEDECE",IF(AND(R77&gt;60,Q77&gt;=2000,Q77&lt;=4999),"OBEDECE",IF(AND(R77&gt;30,Q77&gt;=1000,Q77&lt;=1999),"OBEDECE",IF(AND(R77&lt;=29,Q77&lt;=1000),"OBEDECE","NÃO OBEDECE"))))))</f>
        <v>NÃO OBEDECE</v>
      </c>
      <c r="P77" s="3" t="s">
        <v>62</v>
      </c>
      <c r="Q77" s="4" t="n">
        <v>16089</v>
      </c>
      <c r="R77" s="4" t="n">
        <v>112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</v>
      </c>
      <c r="AM77" s="14" t="n">
        <v>0</v>
      </c>
    </row>
    <row r="78" customFormat="false" ht="15" hidden="false" customHeight="false" outlineLevel="0" collapsed="false">
      <c r="A78" s="11" t="s">
        <v>189</v>
      </c>
      <c r="B78" s="11" t="s">
        <v>54</v>
      </c>
      <c r="C78" s="11" t="s">
        <v>66</v>
      </c>
      <c r="D78" s="11" t="s">
        <v>55</v>
      </c>
      <c r="E78" s="11" t="s">
        <v>118</v>
      </c>
      <c r="F78" s="11" t="s">
        <v>57</v>
      </c>
      <c r="G78" s="12" t="s">
        <v>87</v>
      </c>
      <c r="H78" s="11" t="s">
        <v>171</v>
      </c>
      <c r="I78" s="11" t="s">
        <v>171</v>
      </c>
      <c r="J78" s="11" t="s">
        <v>47</v>
      </c>
      <c r="K78" s="11" t="s">
        <v>59</v>
      </c>
      <c r="L78" s="11" t="s">
        <v>74</v>
      </c>
      <c r="M78" s="11" t="s">
        <v>50</v>
      </c>
      <c r="N78" s="11" t="s">
        <v>61</v>
      </c>
      <c r="O78" s="13" t="str">
        <f aca="false">IF(AND(R78&gt;600,Q78&gt;20000),"OBEDECE",IF(AND(R78&gt;300,Q78&gt;=10000,Q78&lt;=20000),"OBEDECE",IF(AND(R78&gt;150,Q78&gt;=5000,Q78&lt;=9999),"OBEDECE",IF(AND(R78&gt;60,Q78&gt;=2000,Q78&lt;=4999),"OBEDECE",IF(AND(R78&gt;30,Q78&gt;=1000,Q78&lt;=1999),"OBEDECE",IF(AND(R78&lt;=29,Q78&lt;=1000),"OBEDECE","NÃO OBEDECE"))))))</f>
        <v>NÃO OBEDECE</v>
      </c>
      <c r="P78" s="3" t="s">
        <v>62</v>
      </c>
      <c r="Q78" s="4" t="n">
        <v>17482</v>
      </c>
      <c r="R78" s="4" t="n">
        <v>250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</row>
    <row r="79" customFormat="false" ht="15" hidden="false" customHeight="false" outlineLevel="0" collapsed="false">
      <c r="A79" s="11" t="s">
        <v>190</v>
      </c>
      <c r="B79" s="11" t="s">
        <v>54</v>
      </c>
      <c r="C79" s="11" t="s">
        <v>66</v>
      </c>
      <c r="D79" s="11" t="s">
        <v>42</v>
      </c>
      <c r="E79" s="11" t="s">
        <v>118</v>
      </c>
      <c r="F79" s="11" t="s">
        <v>57</v>
      </c>
      <c r="G79" s="12" t="s">
        <v>79</v>
      </c>
      <c r="H79" s="11" t="s">
        <v>171</v>
      </c>
      <c r="I79" s="11" t="s">
        <v>171</v>
      </c>
      <c r="J79" s="11" t="s">
        <v>47</v>
      </c>
      <c r="K79" s="11" t="s">
        <v>59</v>
      </c>
      <c r="L79" s="11" t="s">
        <v>74</v>
      </c>
      <c r="M79" s="11" t="s">
        <v>50</v>
      </c>
      <c r="N79" s="11" t="s">
        <v>71</v>
      </c>
      <c r="O79" s="13" t="str">
        <f aca="false">IF(AND(R79&gt;600,Q79&gt;20000),"OBEDECE",IF(AND(R79&gt;300,Q79&gt;=10000,Q79&lt;=20000),"OBEDECE",IF(AND(R79&gt;150,Q79&gt;=5000,Q79&lt;=9999),"OBEDECE",IF(AND(R79&gt;60,Q79&gt;=2000,Q79&lt;=4999),"OBEDECE",IF(AND(R79&gt;30,Q79&gt;=1000,Q79&lt;=1999),"OBEDECE",IF(AND(R79&lt;=29,Q79&lt;=1000),"OBEDECE","NÃO OBEDECE"))))))</f>
        <v>OBEDECE</v>
      </c>
      <c r="P79" s="3" t="s">
        <v>62</v>
      </c>
      <c r="Q79" s="4" t="n">
        <v>5221</v>
      </c>
      <c r="R79" s="4" t="n">
        <v>328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  <c r="AH79" s="14" t="n">
        <v>0</v>
      </c>
      <c r="AI79" s="14" t="n">
        <v>0</v>
      </c>
      <c r="AJ79" s="14" t="n">
        <v>0</v>
      </c>
      <c r="AK79" s="14" t="n">
        <v>0</v>
      </c>
      <c r="AL79" s="14" t="n">
        <v>0</v>
      </c>
      <c r="AM79" s="14" t="n">
        <v>0</v>
      </c>
    </row>
    <row r="80" customFormat="false" ht="15" hidden="false" customHeight="false" outlineLevel="0" collapsed="false">
      <c r="A80" s="11" t="s">
        <v>191</v>
      </c>
      <c r="B80" s="11" t="s">
        <v>54</v>
      </c>
      <c r="C80" s="11" t="s">
        <v>41</v>
      </c>
      <c r="D80" s="11" t="s">
        <v>55</v>
      </c>
      <c r="E80" s="11" t="s">
        <v>118</v>
      </c>
      <c r="F80" s="11" t="s">
        <v>57</v>
      </c>
      <c r="G80" s="12" t="s">
        <v>85</v>
      </c>
      <c r="H80" s="11" t="s">
        <v>171</v>
      </c>
      <c r="I80" s="11" t="s">
        <v>171</v>
      </c>
      <c r="J80" s="11" t="s">
        <v>47</v>
      </c>
      <c r="K80" s="11" t="s">
        <v>59</v>
      </c>
      <c r="L80" s="11" t="s">
        <v>49</v>
      </c>
      <c r="M80" s="11" t="s">
        <v>50</v>
      </c>
      <c r="N80" s="11" t="s">
        <v>71</v>
      </c>
      <c r="O80" s="13" t="str">
        <f aca="false">IF(AND(R80&gt;600,Q80&gt;20000),"OBEDECE",IF(AND(R80&gt;300,Q80&gt;=10000,Q80&lt;=20000),"OBEDECE",IF(AND(R80&gt;150,Q80&gt;=5000,Q80&lt;=9999),"OBEDECE",IF(AND(R80&gt;60,Q80&gt;=2000,Q80&lt;=4999),"OBEDECE",IF(AND(R80&gt;30,Q80&gt;=1000,Q80&lt;=1999),"OBEDECE",IF(AND(R80&lt;=29,Q80&lt;=1000),"OBEDECE","NÃO OBEDECE"))))))</f>
        <v>OBEDECE</v>
      </c>
      <c r="P80" s="3" t="s">
        <v>68</v>
      </c>
      <c r="Q80" s="4" t="n">
        <v>5722</v>
      </c>
      <c r="R80" s="4" t="n">
        <v>253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1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</row>
    <row r="81" customFormat="false" ht="15" hidden="false" customHeight="false" outlineLevel="0" collapsed="false">
      <c r="A81" s="11" t="s">
        <v>192</v>
      </c>
      <c r="B81" s="11" t="s">
        <v>54</v>
      </c>
      <c r="C81" s="11" t="s">
        <v>41</v>
      </c>
      <c r="D81" s="11" t="s">
        <v>42</v>
      </c>
      <c r="E81" s="11" t="s">
        <v>118</v>
      </c>
      <c r="F81" s="11" t="s">
        <v>57</v>
      </c>
      <c r="G81" s="12" t="s">
        <v>137</v>
      </c>
      <c r="H81" s="11" t="s">
        <v>171</v>
      </c>
      <c r="I81" s="11" t="s">
        <v>171</v>
      </c>
      <c r="J81" s="11" t="s">
        <v>47</v>
      </c>
      <c r="K81" s="11" t="s">
        <v>59</v>
      </c>
      <c r="L81" s="11" t="s">
        <v>77</v>
      </c>
      <c r="M81" s="11" t="s">
        <v>60</v>
      </c>
      <c r="N81" s="11" t="s">
        <v>71</v>
      </c>
      <c r="O81" s="13" t="str">
        <f aca="false">IF(AND(R81&gt;600,Q81&gt;20000),"OBEDECE",IF(AND(R81&gt;300,Q81&gt;=10000,Q81&lt;=20000),"OBEDECE",IF(AND(R81&gt;150,Q81&gt;=5000,Q81&lt;=9999),"OBEDECE",IF(AND(R81&gt;60,Q81&gt;=2000,Q81&lt;=4999),"OBEDECE",IF(AND(R81&gt;30,Q81&gt;=1000,Q81&lt;=1999),"OBEDECE",IF(AND(R81&lt;=29,Q81&lt;=1000),"OBEDECE","NÃO OBEDECE"))))))</f>
        <v>OBEDECE</v>
      </c>
      <c r="P81" s="3" t="s">
        <v>62</v>
      </c>
      <c r="Q81" s="4" t="n">
        <v>8085</v>
      </c>
      <c r="R81" s="4" t="n">
        <v>257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</row>
    <row r="82" customFormat="false" ht="15" hidden="false" customHeight="false" outlineLevel="0" collapsed="false">
      <c r="A82" s="11" t="s">
        <v>193</v>
      </c>
      <c r="B82" s="11" t="s">
        <v>54</v>
      </c>
      <c r="C82" s="11" t="s">
        <v>66</v>
      </c>
      <c r="D82" s="11" t="s">
        <v>55</v>
      </c>
      <c r="E82" s="11" t="s">
        <v>118</v>
      </c>
      <c r="F82" s="11" t="s">
        <v>57</v>
      </c>
      <c r="G82" s="12" t="s">
        <v>145</v>
      </c>
      <c r="H82" s="11" t="s">
        <v>171</v>
      </c>
      <c r="I82" s="11" t="s">
        <v>171</v>
      </c>
      <c r="J82" s="11" t="s">
        <v>47</v>
      </c>
      <c r="K82" s="11" t="s">
        <v>59</v>
      </c>
      <c r="L82" s="11" t="s">
        <v>77</v>
      </c>
      <c r="M82" s="11" t="s">
        <v>60</v>
      </c>
      <c r="N82" s="11" t="s">
        <v>71</v>
      </c>
      <c r="O82" s="13" t="str">
        <f aca="false">IF(AND(R82&gt;600,Q82&gt;20000),"OBEDECE",IF(AND(R82&gt;300,Q82&gt;=10000,Q82&lt;=20000),"OBEDECE",IF(AND(R82&gt;150,Q82&gt;=5000,Q82&lt;=9999),"OBEDECE",IF(AND(R82&gt;60,Q82&gt;=2000,Q82&lt;=4999),"OBEDECE",IF(AND(R82&gt;30,Q82&gt;=1000,Q82&lt;=1999),"OBEDECE",IF(AND(R82&lt;=29,Q82&lt;=1000),"OBEDECE","NÃO OBEDECE"))))))</f>
        <v>NÃO OBEDECE</v>
      </c>
      <c r="P82" s="3" t="s">
        <v>62</v>
      </c>
      <c r="Q82" s="4" t="n">
        <v>9926</v>
      </c>
      <c r="R82" s="4" t="n">
        <v>138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</row>
    <row r="83" customFormat="false" ht="15" hidden="true" customHeight="false" outlineLevel="0" collapsed="false">
      <c r="A83" s="11" t="s">
        <v>194</v>
      </c>
      <c r="B83" s="11" t="s">
        <v>54</v>
      </c>
      <c r="C83" s="11" t="s">
        <v>41</v>
      </c>
      <c r="D83" s="11" t="s">
        <v>55</v>
      </c>
      <c r="E83" s="11" t="s">
        <v>118</v>
      </c>
      <c r="F83" s="11" t="s">
        <v>57</v>
      </c>
      <c r="G83" s="12"/>
      <c r="H83" s="11" t="s">
        <v>171</v>
      </c>
      <c r="I83" s="11" t="s">
        <v>171</v>
      </c>
      <c r="J83" s="11" t="s">
        <v>47</v>
      </c>
      <c r="K83" s="11" t="s">
        <v>59</v>
      </c>
      <c r="L83" s="11" t="s">
        <v>49</v>
      </c>
      <c r="M83" s="11" t="s">
        <v>50</v>
      </c>
      <c r="N83" s="11" t="s">
        <v>123</v>
      </c>
      <c r="O83" s="13" t="str">
        <f aca="false">IF(AND(R83&gt;600,Q83&gt;20000),"OBEDECE",IF(AND(R83&gt;300,Q83&gt;=10000,Q83&lt;=20000),"OBEDECE",IF(AND(R83&gt;150,Q83&gt;=5000,Q83&lt;=9999),"OBEDECE",IF(AND(R83&gt;60,Q83&gt;=2000,Q83&lt;=4999),"OBEDECE",IF(AND(R83&gt;30,Q83&gt;=1000,Q83&lt;=1999),"OBEDECE",IF(AND(R83&lt;=29,Q83&lt;=1000),"OBEDECE","NÃO OBEDECE"))))))</f>
        <v>NÃO OBEDECE</v>
      </c>
      <c r="P83" s="3" t="s">
        <v>62</v>
      </c>
      <c r="Q83" s="4" t="n">
        <v>4374</v>
      </c>
      <c r="R83" s="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</v>
      </c>
    </row>
    <row r="84" customFormat="false" ht="15" hidden="false" customHeight="false" outlineLevel="0" collapsed="false">
      <c r="A84" s="10" t="s">
        <v>195</v>
      </c>
      <c r="B84" s="11" t="s">
        <v>40</v>
      </c>
      <c r="C84" s="11" t="s">
        <v>66</v>
      </c>
      <c r="D84" s="11" t="s">
        <v>42</v>
      </c>
      <c r="E84" s="11" t="s">
        <v>118</v>
      </c>
      <c r="F84" s="11" t="s">
        <v>44</v>
      </c>
      <c r="G84" s="12" t="s">
        <v>45</v>
      </c>
      <c r="H84" s="11" t="s">
        <v>171</v>
      </c>
      <c r="I84" s="11" t="s">
        <v>171</v>
      </c>
      <c r="J84" s="11" t="s">
        <v>46</v>
      </c>
      <c r="K84" s="11" t="s">
        <v>59</v>
      </c>
      <c r="L84" s="11" t="s">
        <v>77</v>
      </c>
      <c r="M84" s="11" t="s">
        <v>50</v>
      </c>
      <c r="N84" s="11" t="s">
        <v>51</v>
      </c>
      <c r="O84" s="13" t="str">
        <f aca="false">IF(AND(R84&gt;600,Q84&gt;20000),"OBEDECE",IF(AND(R84&gt;300,Q84&gt;=10000,Q84&lt;=20000),"OBEDECE",IF(AND(R84&gt;150,Q84&gt;=5000,Q84&lt;=9999),"OBEDECE",IF(AND(R84&gt;60,Q84&gt;=2000,Q84&lt;=4999),"OBEDECE",IF(AND(R84&gt;30,Q84&gt;=1000,Q84&lt;=1999),"OBEDECE",IF(AND(R84&lt;=29,Q84&lt;=1000),"OBEDECE","NÃO OBEDECE"))))))</f>
        <v>NÃO OBEDECE</v>
      </c>
      <c r="P84" s="3" t="s">
        <v>52</v>
      </c>
      <c r="Q84" s="4" t="n">
        <v>25192</v>
      </c>
      <c r="R84" s="4" t="n">
        <v>201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2</v>
      </c>
      <c r="AJ84" s="14" t="n">
        <v>0</v>
      </c>
      <c r="AK84" s="14" t="n">
        <v>2</v>
      </c>
      <c r="AL84" s="14" t="n">
        <v>0</v>
      </c>
      <c r="AM84" s="14" t="n">
        <v>0</v>
      </c>
    </row>
    <row r="85" customFormat="false" ht="15" hidden="false" customHeight="false" outlineLevel="0" collapsed="false">
      <c r="A85" s="11" t="s">
        <v>196</v>
      </c>
      <c r="B85" s="11" t="s">
        <v>54</v>
      </c>
      <c r="C85" s="11" t="s">
        <v>66</v>
      </c>
      <c r="D85" s="11" t="s">
        <v>55</v>
      </c>
      <c r="E85" s="11" t="s">
        <v>118</v>
      </c>
      <c r="F85" s="11" t="s">
        <v>57</v>
      </c>
      <c r="G85" s="12" t="s">
        <v>76</v>
      </c>
      <c r="H85" s="11" t="s">
        <v>171</v>
      </c>
      <c r="I85" s="11" t="s">
        <v>171</v>
      </c>
      <c r="J85" s="11" t="s">
        <v>47</v>
      </c>
      <c r="K85" s="11" t="s">
        <v>59</v>
      </c>
      <c r="L85" s="11" t="s">
        <v>77</v>
      </c>
      <c r="M85" s="11" t="s">
        <v>50</v>
      </c>
      <c r="N85" s="11" t="s">
        <v>61</v>
      </c>
      <c r="O85" s="13" t="str">
        <f aca="false">IF(AND(R85&gt;600,Q85&gt;20000),"OBEDECE",IF(AND(R85&gt;300,Q85&gt;=10000,Q85&lt;=20000),"OBEDECE",IF(AND(R85&gt;150,Q85&gt;=5000,Q85&lt;=9999),"OBEDECE",IF(AND(R85&gt;60,Q85&gt;=2000,Q85&lt;=4999),"OBEDECE",IF(AND(R85&gt;30,Q85&gt;=1000,Q85&lt;=1999),"OBEDECE",IF(AND(R85&lt;=29,Q85&lt;=1000),"OBEDECE","NÃO OBEDECE"))))))</f>
        <v>NÃO OBEDECE</v>
      </c>
      <c r="P85" s="3" t="s">
        <v>52</v>
      </c>
      <c r="Q85" s="4" t="n">
        <v>13360</v>
      </c>
      <c r="R85" s="4" t="n">
        <v>142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1</v>
      </c>
      <c r="AJ85" s="14" t="n">
        <v>0</v>
      </c>
      <c r="AK85" s="14" t="n">
        <v>0</v>
      </c>
      <c r="AL85" s="14" t="n">
        <v>0</v>
      </c>
      <c r="AM85" s="14" t="n">
        <v>0</v>
      </c>
    </row>
    <row r="86" customFormat="false" ht="15" hidden="false" customHeight="false" outlineLevel="0" collapsed="false">
      <c r="A86" s="11" t="s">
        <v>197</v>
      </c>
      <c r="B86" s="11" t="s">
        <v>40</v>
      </c>
      <c r="C86" s="11" t="s">
        <v>66</v>
      </c>
      <c r="D86" s="11" t="s">
        <v>42</v>
      </c>
      <c r="E86" s="11" t="s">
        <v>118</v>
      </c>
      <c r="F86" s="11" t="s">
        <v>57</v>
      </c>
      <c r="G86" s="12" t="s">
        <v>81</v>
      </c>
      <c r="H86" s="11" t="s">
        <v>171</v>
      </c>
      <c r="I86" s="11" t="s">
        <v>171</v>
      </c>
      <c r="J86" s="11" t="s">
        <v>47</v>
      </c>
      <c r="K86" s="11" t="s">
        <v>59</v>
      </c>
      <c r="L86" s="11" t="s">
        <v>74</v>
      </c>
      <c r="M86" s="11" t="s">
        <v>50</v>
      </c>
      <c r="N86" s="11" t="s">
        <v>51</v>
      </c>
      <c r="O86" s="13" t="str">
        <f aca="false">IF(AND(R86&gt;600,Q86&gt;20000),"OBEDECE",IF(AND(R86&gt;300,Q86&gt;=10000,Q86&lt;=20000),"OBEDECE",IF(AND(R86&gt;150,Q86&gt;=5000,Q86&lt;=9999),"OBEDECE",IF(AND(R86&gt;60,Q86&gt;=2000,Q86&lt;=4999),"OBEDECE",IF(AND(R86&gt;30,Q86&gt;=1000,Q86&lt;=1999),"OBEDECE",IF(AND(R86&lt;=29,Q86&lt;=1000),"OBEDECE","NÃO OBEDECE"))))))</f>
        <v>NÃO OBEDECE</v>
      </c>
      <c r="P86" s="3" t="s">
        <v>52</v>
      </c>
      <c r="Q86" s="4" t="n">
        <v>36826</v>
      </c>
      <c r="R86" s="4" t="n">
        <v>253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2</v>
      </c>
      <c r="AI86" s="14" t="n">
        <v>1</v>
      </c>
      <c r="AJ86" s="14" t="n">
        <v>0</v>
      </c>
      <c r="AK86" s="14" t="n">
        <v>0</v>
      </c>
      <c r="AL86" s="14" t="n">
        <v>0</v>
      </c>
      <c r="AM86" s="14" t="n">
        <v>1</v>
      </c>
    </row>
    <row r="87" customFormat="false" ht="15" hidden="false" customHeight="false" outlineLevel="0" collapsed="false">
      <c r="A87" s="11" t="s">
        <v>198</v>
      </c>
      <c r="B87" s="11" t="s">
        <v>54</v>
      </c>
      <c r="C87" s="11" t="s">
        <v>41</v>
      </c>
      <c r="D87" s="11" t="s">
        <v>55</v>
      </c>
      <c r="E87" s="11" t="s">
        <v>118</v>
      </c>
      <c r="F87" s="11" t="s">
        <v>57</v>
      </c>
      <c r="G87" s="12" t="s">
        <v>199</v>
      </c>
      <c r="H87" s="11" t="s">
        <v>171</v>
      </c>
      <c r="I87" s="11" t="s">
        <v>171</v>
      </c>
      <c r="J87" s="11" t="s">
        <v>47</v>
      </c>
      <c r="K87" s="11" t="s">
        <v>59</v>
      </c>
      <c r="L87" s="11" t="s">
        <v>49</v>
      </c>
      <c r="M87" s="11" t="s">
        <v>60</v>
      </c>
      <c r="N87" s="11" t="s">
        <v>71</v>
      </c>
      <c r="O87" s="13" t="str">
        <f aca="false">IF(AND(R87&gt;600,Q87&gt;20000),"OBEDECE",IF(AND(R87&gt;300,Q87&gt;=10000,Q87&lt;=20000),"OBEDECE",IF(AND(R87&gt;150,Q87&gt;=5000,Q87&lt;=9999),"OBEDECE",IF(AND(R87&gt;60,Q87&gt;=2000,Q87&lt;=4999),"OBEDECE",IF(AND(R87&gt;30,Q87&gt;=1000,Q87&lt;=1999),"OBEDECE",IF(AND(R87&lt;=29,Q87&lt;=1000),"OBEDECE","NÃO OBEDECE"))))))</f>
        <v>NÃO OBEDECE</v>
      </c>
      <c r="P87" s="3" t="s">
        <v>52</v>
      </c>
      <c r="Q87" s="4" t="n">
        <v>9714</v>
      </c>
      <c r="R87" s="4" t="n">
        <v>124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2</v>
      </c>
      <c r="AI87" s="14" t="n">
        <v>1</v>
      </c>
      <c r="AJ87" s="14" t="n">
        <v>0</v>
      </c>
      <c r="AK87" s="14" t="n">
        <v>0</v>
      </c>
      <c r="AL87" s="14" t="n">
        <v>0</v>
      </c>
      <c r="AM87" s="14" t="n">
        <v>0</v>
      </c>
    </row>
    <row r="88" customFormat="false" ht="15" hidden="false" customHeight="false" outlineLevel="0" collapsed="false">
      <c r="A88" s="11" t="s">
        <v>200</v>
      </c>
      <c r="B88" s="11" t="s">
        <v>40</v>
      </c>
      <c r="C88" s="11" t="s">
        <v>41</v>
      </c>
      <c r="D88" s="11" t="s">
        <v>42</v>
      </c>
      <c r="E88" s="11" t="s">
        <v>118</v>
      </c>
      <c r="F88" s="11" t="s">
        <v>57</v>
      </c>
      <c r="G88" s="12" t="s">
        <v>201</v>
      </c>
      <c r="H88" s="11" t="s">
        <v>171</v>
      </c>
      <c r="I88" s="11" t="s">
        <v>171</v>
      </c>
      <c r="J88" s="11" t="s">
        <v>47</v>
      </c>
      <c r="K88" s="11" t="s">
        <v>59</v>
      </c>
      <c r="L88" s="11" t="s">
        <v>74</v>
      </c>
      <c r="M88" s="11" t="s">
        <v>60</v>
      </c>
      <c r="N88" s="11" t="s">
        <v>51</v>
      </c>
      <c r="O88" s="13" t="str">
        <f aca="false">IF(AND(R88&gt;600,Q88&gt;20000),"OBEDECE",IF(AND(R88&gt;300,Q88&gt;=10000,Q88&lt;=20000),"OBEDECE",IF(AND(R88&gt;150,Q88&gt;=5000,Q88&lt;=9999),"OBEDECE",IF(AND(R88&gt;60,Q88&gt;=2000,Q88&lt;=4999),"OBEDECE",IF(AND(R88&gt;30,Q88&gt;=1000,Q88&lt;=1999),"OBEDECE",IF(AND(R88&lt;=29,Q88&lt;=1000),"OBEDECE","NÃO OBEDECE"))))))</f>
        <v>NÃO OBEDECE</v>
      </c>
      <c r="P88" s="3" t="s">
        <v>68</v>
      </c>
      <c r="Q88" s="4" t="n">
        <v>22162</v>
      </c>
      <c r="R88" s="4" t="n">
        <v>163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</row>
    <row r="89" customFormat="false" ht="15" hidden="false" customHeight="false" outlineLevel="0" collapsed="false">
      <c r="A89" s="11" t="s">
        <v>202</v>
      </c>
      <c r="B89" s="11" t="s">
        <v>54</v>
      </c>
      <c r="C89" s="11" t="s">
        <v>66</v>
      </c>
      <c r="D89" s="11" t="s">
        <v>55</v>
      </c>
      <c r="E89" s="11" t="s">
        <v>118</v>
      </c>
      <c r="F89" s="11" t="s">
        <v>57</v>
      </c>
      <c r="G89" s="12" t="s">
        <v>95</v>
      </c>
      <c r="H89" s="11" t="s">
        <v>171</v>
      </c>
      <c r="I89" s="11" t="s">
        <v>171</v>
      </c>
      <c r="J89" s="11" t="s">
        <v>47</v>
      </c>
      <c r="K89" s="11" t="s">
        <v>59</v>
      </c>
      <c r="L89" s="11" t="s">
        <v>77</v>
      </c>
      <c r="M89" s="11" t="s">
        <v>60</v>
      </c>
      <c r="N89" s="11" t="s">
        <v>71</v>
      </c>
      <c r="O89" s="13" t="str">
        <f aca="false">IF(AND(R89&gt;600,Q89&gt;20000),"OBEDECE",IF(AND(R89&gt;300,Q89&gt;=10000,Q89&lt;=20000),"OBEDECE",IF(AND(R89&gt;150,Q89&gt;=5000,Q89&lt;=9999),"OBEDECE",IF(AND(R89&gt;60,Q89&gt;=2000,Q89&lt;=4999),"OBEDECE",IF(AND(R89&gt;30,Q89&gt;=1000,Q89&lt;=1999),"OBEDECE",IF(AND(R89&lt;=29,Q89&lt;=1000),"OBEDECE","NÃO OBEDECE"))))))</f>
        <v>NÃO OBEDECE</v>
      </c>
      <c r="P89" s="3" t="s">
        <v>62</v>
      </c>
      <c r="Q89" s="4" t="n">
        <v>5961</v>
      </c>
      <c r="R89" s="4" t="n">
        <v>124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</row>
    <row r="90" customFormat="false" ht="15" hidden="false" customHeight="false" outlineLevel="0" collapsed="false">
      <c r="A90" s="11" t="s">
        <v>203</v>
      </c>
      <c r="B90" s="11" t="s">
        <v>54</v>
      </c>
      <c r="C90" s="11" t="s">
        <v>41</v>
      </c>
      <c r="D90" s="11" t="s">
        <v>42</v>
      </c>
      <c r="E90" s="11" t="s">
        <v>118</v>
      </c>
      <c r="F90" s="11" t="s">
        <v>57</v>
      </c>
      <c r="G90" s="12" t="s">
        <v>103</v>
      </c>
      <c r="H90" s="11" t="s">
        <v>171</v>
      </c>
      <c r="I90" s="11" t="s">
        <v>171</v>
      </c>
      <c r="J90" s="11" t="s">
        <v>47</v>
      </c>
      <c r="K90" s="11" t="s">
        <v>59</v>
      </c>
      <c r="L90" s="11" t="s">
        <v>77</v>
      </c>
      <c r="M90" s="11" t="s">
        <v>60</v>
      </c>
      <c r="N90" s="11" t="s">
        <v>61</v>
      </c>
      <c r="O90" s="13" t="str">
        <f aca="false">IF(AND(R90&gt;600,Q90&gt;20000),"OBEDECE",IF(AND(R90&gt;300,Q90&gt;=10000,Q90&lt;=20000),"OBEDECE",IF(AND(R90&gt;150,Q90&gt;=5000,Q90&lt;=9999),"OBEDECE",IF(AND(R90&gt;60,Q90&gt;=2000,Q90&lt;=4999),"OBEDECE",IF(AND(R90&gt;30,Q90&gt;=1000,Q90&lt;=1999),"OBEDECE",IF(AND(R90&lt;=29,Q90&lt;=1000),"OBEDECE","NÃO OBEDECE"))))))</f>
        <v>NÃO OBEDECE</v>
      </c>
      <c r="P90" s="3" t="s">
        <v>52</v>
      </c>
      <c r="Q90" s="4" t="n">
        <v>15367</v>
      </c>
      <c r="R90" s="4" t="n">
        <v>155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1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2</v>
      </c>
    </row>
    <row r="91" customFormat="false" ht="15" hidden="false" customHeight="false" outlineLevel="0" collapsed="false">
      <c r="A91" s="11" t="s">
        <v>204</v>
      </c>
      <c r="B91" s="11" t="s">
        <v>40</v>
      </c>
      <c r="C91" s="11" t="s">
        <v>66</v>
      </c>
      <c r="D91" s="11" t="s">
        <v>42</v>
      </c>
      <c r="E91" s="11" t="s">
        <v>118</v>
      </c>
      <c r="F91" s="11" t="s">
        <v>57</v>
      </c>
      <c r="G91" s="12" t="s">
        <v>85</v>
      </c>
      <c r="H91" s="11" t="s">
        <v>171</v>
      </c>
      <c r="I91" s="11" t="s">
        <v>171</v>
      </c>
      <c r="J91" s="11" t="s">
        <v>47</v>
      </c>
      <c r="K91" s="11" t="s">
        <v>59</v>
      </c>
      <c r="L91" s="11" t="s">
        <v>77</v>
      </c>
      <c r="M91" s="11" t="s">
        <v>50</v>
      </c>
      <c r="N91" s="11" t="s">
        <v>61</v>
      </c>
      <c r="O91" s="13" t="str">
        <f aca="false">IF(AND(R91&gt;600,Q91&gt;20000),"OBEDECE",IF(AND(R91&gt;300,Q91&gt;=10000,Q91&lt;=20000),"OBEDECE",IF(AND(R91&gt;150,Q91&gt;=5000,Q91&lt;=9999),"OBEDECE",IF(AND(R91&gt;60,Q91&gt;=2000,Q91&lt;=4999),"OBEDECE",IF(AND(R91&gt;30,Q91&gt;=1000,Q91&lt;=1999),"OBEDECE",IF(AND(R91&lt;=29,Q91&lt;=1000),"OBEDECE","NÃO OBEDECE"))))))</f>
        <v>NÃO OBEDECE</v>
      </c>
      <c r="P91" s="3" t="s">
        <v>62</v>
      </c>
      <c r="Q91" s="4" t="n">
        <v>11617</v>
      </c>
      <c r="R91" s="4" t="n">
        <v>130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</row>
    <row r="92" customFormat="false" ht="15" hidden="false" customHeight="false" outlineLevel="0" collapsed="false">
      <c r="A92" s="11" t="s">
        <v>205</v>
      </c>
      <c r="B92" s="11" t="s">
        <v>54</v>
      </c>
      <c r="C92" s="11" t="s">
        <v>66</v>
      </c>
      <c r="D92" s="11" t="s">
        <v>42</v>
      </c>
      <c r="E92" s="11" t="s">
        <v>118</v>
      </c>
      <c r="F92" s="11" t="s">
        <v>57</v>
      </c>
      <c r="G92" s="15" t="s">
        <v>155</v>
      </c>
      <c r="H92" s="11" t="s">
        <v>171</v>
      </c>
      <c r="I92" s="11" t="s">
        <v>171</v>
      </c>
      <c r="J92" s="11" t="s">
        <v>47</v>
      </c>
      <c r="K92" s="11" t="s">
        <v>59</v>
      </c>
      <c r="L92" s="11" t="s">
        <v>77</v>
      </c>
      <c r="M92" s="11" t="s">
        <v>50</v>
      </c>
      <c r="N92" s="11" t="s">
        <v>71</v>
      </c>
      <c r="O92" s="13" t="str">
        <f aca="false">IF(AND(R92&gt;600,Q92&gt;20000),"OBEDECE",IF(AND(R92&gt;300,Q92&gt;=10000,Q92&lt;=20000),"OBEDECE",IF(AND(R92&gt;150,Q92&gt;=5000,Q92&lt;=9999),"OBEDECE",IF(AND(R92&gt;60,Q92&gt;=2000,Q92&lt;=4999),"OBEDECE",IF(AND(R92&gt;30,Q92&gt;=1000,Q92&lt;=1999),"OBEDECE",IF(AND(R92&lt;=29,Q92&lt;=1000),"OBEDECE","NÃO OBEDECE"))))))</f>
        <v>NÃO OBEDECE</v>
      </c>
      <c r="P92" s="3" t="s">
        <v>62</v>
      </c>
      <c r="Q92" s="4" t="n">
        <v>7742</v>
      </c>
      <c r="R92" s="4" t="n">
        <v>120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</v>
      </c>
      <c r="AE92" s="14" t="n">
        <v>0</v>
      </c>
      <c r="AF92" s="14" t="n">
        <v>0</v>
      </c>
      <c r="AG92" s="14" t="n">
        <v>0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</row>
    <row r="93" customFormat="false" ht="15" hidden="false" customHeight="false" outlineLevel="0" collapsed="false">
      <c r="A93" s="11" t="s">
        <v>206</v>
      </c>
      <c r="B93" s="11" t="s">
        <v>54</v>
      </c>
      <c r="C93" s="11" t="s">
        <v>66</v>
      </c>
      <c r="D93" s="11" t="s">
        <v>42</v>
      </c>
      <c r="E93" s="11" t="s">
        <v>118</v>
      </c>
      <c r="F93" s="11" t="s">
        <v>57</v>
      </c>
      <c r="G93" s="12" t="s">
        <v>67</v>
      </c>
      <c r="H93" s="11" t="s">
        <v>171</v>
      </c>
      <c r="I93" s="11" t="s">
        <v>171</v>
      </c>
      <c r="J93" s="11" t="s">
        <v>47</v>
      </c>
      <c r="K93" s="11" t="s">
        <v>59</v>
      </c>
      <c r="L93" s="11" t="s">
        <v>77</v>
      </c>
      <c r="M93" s="11" t="s">
        <v>60</v>
      </c>
      <c r="N93" s="11" t="s">
        <v>71</v>
      </c>
      <c r="O93" s="13" t="str">
        <f aca="false">IF(AND(R93&gt;600,Q93&gt;20000),"OBEDECE",IF(AND(R93&gt;300,Q93&gt;=10000,Q93&lt;=20000),"OBEDECE",IF(AND(R93&gt;150,Q93&gt;=5000,Q93&lt;=9999),"OBEDECE",IF(AND(R93&gt;60,Q93&gt;=2000,Q93&lt;=4999),"OBEDECE",IF(AND(R93&gt;30,Q93&gt;=1000,Q93&lt;=1999),"OBEDECE",IF(AND(R93&lt;=29,Q93&lt;=1000),"OBEDECE","NÃO OBEDECE"))))))</f>
        <v>NÃO OBEDECE</v>
      </c>
      <c r="P93" s="3" t="s">
        <v>68</v>
      </c>
      <c r="Q93" s="4" t="n">
        <v>5539</v>
      </c>
      <c r="R93" s="4" t="n">
        <v>122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1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</row>
    <row r="94" customFormat="false" ht="15" hidden="false" customHeight="false" outlineLevel="0" collapsed="false">
      <c r="A94" s="11" t="s">
        <v>207</v>
      </c>
      <c r="B94" s="11" t="s">
        <v>54</v>
      </c>
      <c r="C94" s="11" t="s">
        <v>41</v>
      </c>
      <c r="D94" s="11" t="s">
        <v>55</v>
      </c>
      <c r="E94" s="11" t="s">
        <v>118</v>
      </c>
      <c r="F94" s="11" t="s">
        <v>57</v>
      </c>
      <c r="G94" s="12" t="s">
        <v>208</v>
      </c>
      <c r="H94" s="11" t="s">
        <v>171</v>
      </c>
      <c r="I94" s="11" t="s">
        <v>171</v>
      </c>
      <c r="J94" s="11" t="s">
        <v>47</v>
      </c>
      <c r="K94" s="11" t="s">
        <v>48</v>
      </c>
      <c r="L94" s="11" t="s">
        <v>74</v>
      </c>
      <c r="M94" s="11" t="s">
        <v>60</v>
      </c>
      <c r="N94" s="11" t="s">
        <v>123</v>
      </c>
      <c r="O94" s="13" t="str">
        <f aca="false">IF(AND(R94&gt;600,Q94&gt;20000),"OBEDECE",IF(AND(R94&gt;300,Q94&gt;=10000,Q94&lt;=20000),"OBEDECE",IF(AND(R94&gt;150,Q94&gt;=5000,Q94&lt;=9999),"OBEDECE",IF(AND(R94&gt;60,Q94&gt;=2000,Q94&lt;=4999),"OBEDECE",IF(AND(R94&gt;30,Q94&gt;=1000,Q94&lt;=1999),"OBEDECE",IF(AND(R94&lt;=29,Q94&lt;=1000),"OBEDECE","NÃO OBEDECE"))))))</f>
        <v>OBEDECE</v>
      </c>
      <c r="P94" s="3" t="s">
        <v>62</v>
      </c>
      <c r="Q94" s="4" t="n">
        <v>3666</v>
      </c>
      <c r="R94" s="4" t="n">
        <v>121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</row>
    <row r="95" customFormat="false" ht="15" hidden="false" customHeight="false" outlineLevel="0" collapsed="false">
      <c r="A95" s="11" t="s">
        <v>209</v>
      </c>
      <c r="B95" s="11" t="s">
        <v>54</v>
      </c>
      <c r="C95" s="11" t="s">
        <v>41</v>
      </c>
      <c r="D95" s="11" t="s">
        <v>42</v>
      </c>
      <c r="E95" s="11" t="s">
        <v>56</v>
      </c>
      <c r="F95" s="11" t="s">
        <v>57</v>
      </c>
      <c r="G95" s="12" t="s">
        <v>210</v>
      </c>
      <c r="H95" s="11" t="s">
        <v>171</v>
      </c>
      <c r="I95" s="11" t="s">
        <v>47</v>
      </c>
      <c r="J95" s="11" t="s">
        <v>47</v>
      </c>
      <c r="K95" s="11" t="s">
        <v>48</v>
      </c>
      <c r="L95" s="11" t="s">
        <v>49</v>
      </c>
      <c r="M95" s="11" t="s">
        <v>60</v>
      </c>
      <c r="N95" s="11" t="s">
        <v>71</v>
      </c>
      <c r="O95" s="13" t="str">
        <f aca="false">IF(AND(R95&gt;600,Q95&gt;20000),"OBEDECE",IF(AND(R95&gt;300,Q95&gt;=10000,Q95&lt;=20000),"OBEDECE",IF(AND(R95&gt;150,Q95&gt;=5000,Q95&lt;=9999),"OBEDECE",IF(AND(R95&gt;60,Q95&gt;=2000,Q95&lt;=4999),"OBEDECE",IF(AND(R95&gt;30,Q95&gt;=1000,Q95&lt;=1999),"OBEDECE",IF(AND(R95&lt;=29,Q95&lt;=1000),"OBEDECE","NÃO OBEDECE"))))))</f>
        <v>NÃO OBEDECE</v>
      </c>
      <c r="P95" s="3" t="s">
        <v>62</v>
      </c>
      <c r="Q95" s="4" t="n">
        <v>8679</v>
      </c>
      <c r="R95" s="4" t="n">
        <v>42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</row>
    <row r="96" customFormat="false" ht="15" hidden="true" customHeight="false" outlineLevel="0" collapsed="false">
      <c r="A96" s="11" t="s">
        <v>211</v>
      </c>
      <c r="B96" s="11" t="s">
        <v>40</v>
      </c>
      <c r="C96" s="11" t="s">
        <v>66</v>
      </c>
      <c r="D96" s="11" t="s">
        <v>42</v>
      </c>
      <c r="E96" s="11" t="s">
        <v>56</v>
      </c>
      <c r="F96" s="11" t="s">
        <v>57</v>
      </c>
      <c r="G96" s="12"/>
      <c r="H96" s="11" t="s">
        <v>171</v>
      </c>
      <c r="I96" s="11" t="s">
        <v>47</v>
      </c>
      <c r="J96" s="11" t="s">
        <v>47</v>
      </c>
      <c r="K96" s="11" t="s">
        <v>48</v>
      </c>
      <c r="L96" s="11" t="s">
        <v>49</v>
      </c>
      <c r="M96" s="11" t="s">
        <v>60</v>
      </c>
      <c r="N96" s="11" t="s">
        <v>123</v>
      </c>
      <c r="O96" s="13" t="str">
        <f aca="false">IF(AND(R96&gt;600,Q96&gt;20000),"OBEDECE",IF(AND(R96&gt;300,Q96&gt;=10000,Q96&lt;=20000),"OBEDECE",IF(AND(R96&gt;150,Q96&gt;=5000,Q96&lt;=9999),"OBEDECE",IF(AND(R96&gt;60,Q96&gt;=2000,Q96&lt;=4999),"OBEDECE",IF(AND(R96&gt;30,Q96&gt;=1000,Q96&lt;=1999),"OBEDECE",IF(AND(R96&lt;=29,Q96&lt;=1000),"OBEDECE","NÃO OBEDECE"))))))</f>
        <v>NÃO OBEDECE</v>
      </c>
      <c r="P96" s="3" t="s">
        <v>62</v>
      </c>
      <c r="Q96" s="4" t="n">
        <v>3267</v>
      </c>
      <c r="R96" s="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</row>
    <row r="97" customFormat="false" ht="15" hidden="true" customHeight="false" outlineLevel="0" collapsed="false">
      <c r="A97" s="11" t="s">
        <v>212</v>
      </c>
      <c r="B97" s="11" t="s">
        <v>40</v>
      </c>
      <c r="C97" s="11" t="s">
        <v>66</v>
      </c>
      <c r="D97" s="11" t="s">
        <v>55</v>
      </c>
      <c r="E97" s="11" t="s">
        <v>56</v>
      </c>
      <c r="F97" s="11" t="s">
        <v>44</v>
      </c>
      <c r="G97" s="12"/>
      <c r="H97" s="11" t="s">
        <v>171</v>
      </c>
      <c r="I97" s="11" t="s">
        <v>47</v>
      </c>
      <c r="J97" s="11" t="s">
        <v>47</v>
      </c>
      <c r="K97" s="11" t="s">
        <v>48</v>
      </c>
      <c r="L97" s="11" t="s">
        <v>49</v>
      </c>
      <c r="M97" s="11" t="s">
        <v>50</v>
      </c>
      <c r="N97" s="11" t="s">
        <v>213</v>
      </c>
      <c r="O97" s="13" t="str">
        <f aca="false">IF(AND(R97&gt;600,Q97&gt;20000),"OBEDECE",IF(AND(R97&gt;300,Q97&gt;=10000,Q97&lt;=20000),"OBEDECE",IF(AND(R97&gt;150,Q97&gt;=5000,Q97&lt;=9999),"OBEDECE",IF(AND(R97&gt;60,Q97&gt;=2000,Q97&lt;=4999),"OBEDECE",IF(AND(R97&gt;30,Q97&gt;=1000,Q97&lt;=1999),"OBEDECE",IF(AND(R97&lt;=29,Q97&lt;=1000),"OBEDECE","NÃO OBEDECE"))))))</f>
        <v>OBEDECE</v>
      </c>
      <c r="P97" s="3" t="s">
        <v>62</v>
      </c>
      <c r="Q97" s="4" t="n">
        <v>523</v>
      </c>
      <c r="R97" s="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</row>
    <row r="98" customFormat="false" ht="15" hidden="false" customHeight="false" outlineLevel="0" collapsed="false">
      <c r="A98" s="11" t="s">
        <v>212</v>
      </c>
      <c r="B98" s="11" t="s">
        <v>54</v>
      </c>
      <c r="C98" s="11" t="s">
        <v>66</v>
      </c>
      <c r="D98" s="11" t="s">
        <v>55</v>
      </c>
      <c r="E98" s="11" t="s">
        <v>118</v>
      </c>
      <c r="F98" s="11" t="s">
        <v>57</v>
      </c>
      <c r="G98" s="12" t="s">
        <v>214</v>
      </c>
      <c r="H98" s="11" t="s">
        <v>171</v>
      </c>
      <c r="I98" s="11" t="s">
        <v>171</v>
      </c>
      <c r="J98" s="11" t="s">
        <v>47</v>
      </c>
      <c r="K98" s="11" t="s">
        <v>48</v>
      </c>
      <c r="L98" s="11" t="s">
        <v>135</v>
      </c>
      <c r="M98" s="11" t="s">
        <v>60</v>
      </c>
      <c r="N98" s="11" t="s">
        <v>123</v>
      </c>
      <c r="O98" s="13" t="str">
        <f aca="false">IF(AND(R98&gt;600,Q98&gt;20000),"OBEDECE",IF(AND(R98&gt;300,Q98&gt;=10000,Q98&lt;=20000),"OBEDECE",IF(AND(R98&gt;150,Q98&gt;=5000,Q98&lt;=9999),"OBEDECE",IF(AND(R98&gt;60,Q98&gt;=2000,Q98&lt;=4999),"OBEDECE",IF(AND(R98&gt;30,Q98&gt;=1000,Q98&lt;=1999),"OBEDECE",IF(AND(R98&lt;=29,Q98&lt;=1000),"OBEDECE","NÃO OBEDECE"))))))</f>
        <v>OBEDECE</v>
      </c>
      <c r="P98" s="3" t="s">
        <v>62</v>
      </c>
      <c r="Q98" s="4" t="n">
        <v>3209</v>
      </c>
      <c r="R98" s="4" t="n">
        <v>84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</row>
    <row r="99" customFormat="false" ht="15" hidden="false" customHeight="false" outlineLevel="0" collapsed="false">
      <c r="A99" s="10" t="s">
        <v>215</v>
      </c>
      <c r="B99" s="11" t="s">
        <v>54</v>
      </c>
      <c r="C99" s="11" t="s">
        <v>41</v>
      </c>
      <c r="D99" s="11" t="s">
        <v>42</v>
      </c>
      <c r="E99" s="11" t="s">
        <v>43</v>
      </c>
      <c r="F99" s="11" t="s">
        <v>44</v>
      </c>
      <c r="G99" s="12" t="s">
        <v>45</v>
      </c>
      <c r="H99" s="11" t="s">
        <v>171</v>
      </c>
      <c r="I99" s="11" t="s">
        <v>47</v>
      </c>
      <c r="J99" s="11" t="s">
        <v>46</v>
      </c>
      <c r="K99" s="11" t="s">
        <v>48</v>
      </c>
      <c r="L99" s="11" t="s">
        <v>49</v>
      </c>
      <c r="M99" s="11" t="s">
        <v>50</v>
      </c>
      <c r="N99" s="11" t="s">
        <v>61</v>
      </c>
      <c r="O99" s="13" t="str">
        <f aca="false">IF(AND(R99&gt;600,Q99&gt;20000),"OBEDECE",IF(AND(R99&gt;300,Q99&gt;=10000,Q99&lt;=20000),"OBEDECE",IF(AND(R99&gt;150,Q99&gt;=5000,Q99&lt;=9999),"OBEDECE",IF(AND(R99&gt;60,Q99&gt;=2000,Q99&lt;=4999),"OBEDECE",IF(AND(R99&gt;30,Q99&gt;=1000,Q99&lt;=1999),"OBEDECE",IF(AND(R99&lt;=29,Q99&lt;=1000),"OBEDECE","NÃO OBEDECE"))))))</f>
        <v>NÃO OBEDECE</v>
      </c>
      <c r="P99" s="3" t="s">
        <v>52</v>
      </c>
      <c r="Q99" s="4" t="n">
        <v>13679</v>
      </c>
      <c r="R99" s="4" t="n">
        <v>70</v>
      </c>
      <c r="S99" s="14" t="n">
        <v>0</v>
      </c>
      <c r="T99" s="14" t="n">
        <v>1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2</v>
      </c>
      <c r="AL99" s="14" t="n">
        <v>0</v>
      </c>
      <c r="AM99" s="14" t="n">
        <v>0</v>
      </c>
    </row>
    <row r="100" customFormat="false" ht="15" hidden="false" customHeight="false" outlineLevel="0" collapsed="false">
      <c r="A100" s="11" t="s">
        <v>216</v>
      </c>
      <c r="B100" s="11" t="s">
        <v>54</v>
      </c>
      <c r="C100" s="11" t="s">
        <v>41</v>
      </c>
      <c r="D100" s="11" t="s">
        <v>55</v>
      </c>
      <c r="E100" s="11" t="s">
        <v>118</v>
      </c>
      <c r="F100" s="11" t="s">
        <v>57</v>
      </c>
      <c r="G100" s="15" t="s">
        <v>217</v>
      </c>
      <c r="H100" s="11" t="s">
        <v>171</v>
      </c>
      <c r="I100" s="11" t="s">
        <v>171</v>
      </c>
      <c r="J100" s="11" t="s">
        <v>47</v>
      </c>
      <c r="K100" s="11" t="s">
        <v>48</v>
      </c>
      <c r="L100" s="11" t="s">
        <v>135</v>
      </c>
      <c r="M100" s="11" t="s">
        <v>60</v>
      </c>
      <c r="N100" s="11" t="s">
        <v>71</v>
      </c>
      <c r="O100" s="13" t="str">
        <f aca="false">IF(AND(R100&gt;600,Q100&gt;20000),"OBEDECE",IF(AND(R100&gt;300,Q100&gt;=10000,Q100&lt;=20000),"OBEDECE",IF(AND(R100&gt;150,Q100&gt;=5000,Q100&lt;=9999),"OBEDECE",IF(AND(R100&gt;60,Q100&gt;=2000,Q100&lt;=4999),"OBEDECE",IF(AND(R100&gt;30,Q100&gt;=1000,Q100&lt;=1999),"OBEDECE",IF(AND(R100&lt;=29,Q100&lt;=1000),"OBEDECE","NÃO OBEDECE"))))))</f>
        <v>NÃO OBEDECE</v>
      </c>
      <c r="P100" s="3" t="s">
        <v>68</v>
      </c>
      <c r="Q100" s="4" t="n">
        <v>6082</v>
      </c>
      <c r="R100" s="4" t="n">
        <v>88</v>
      </c>
      <c r="S100" s="14" t="n">
        <v>0</v>
      </c>
      <c r="T100" s="14" t="n">
        <v>2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</row>
    <row r="101" customFormat="false" ht="15" hidden="false" customHeight="false" outlineLevel="0" collapsed="false">
      <c r="A101" s="11" t="s">
        <v>218</v>
      </c>
      <c r="B101" s="11" t="s">
        <v>54</v>
      </c>
      <c r="C101" s="11" t="s">
        <v>41</v>
      </c>
      <c r="D101" s="11" t="s">
        <v>42</v>
      </c>
      <c r="E101" s="11" t="s">
        <v>118</v>
      </c>
      <c r="F101" s="11" t="s">
        <v>57</v>
      </c>
      <c r="G101" s="12" t="s">
        <v>219</v>
      </c>
      <c r="H101" s="11" t="s">
        <v>171</v>
      </c>
      <c r="I101" s="11" t="s">
        <v>171</v>
      </c>
      <c r="J101" s="11" t="s">
        <v>47</v>
      </c>
      <c r="K101" s="11" t="s">
        <v>48</v>
      </c>
      <c r="L101" s="11" t="s">
        <v>49</v>
      </c>
      <c r="M101" s="11" t="s">
        <v>60</v>
      </c>
      <c r="N101" s="11" t="s">
        <v>71</v>
      </c>
      <c r="O101" s="13" t="str">
        <f aca="false">IF(AND(R101&gt;600,Q101&gt;20000),"OBEDECE",IF(AND(R101&gt;300,Q101&gt;=10000,Q101&lt;=20000),"OBEDECE",IF(AND(R101&gt;150,Q101&gt;=5000,Q101&lt;=9999),"OBEDECE",IF(AND(R101&gt;60,Q101&gt;=2000,Q101&lt;=4999),"OBEDECE",IF(AND(R101&gt;30,Q101&gt;=1000,Q101&lt;=1999),"OBEDECE",IF(AND(R101&lt;=29,Q101&lt;=1000),"OBEDECE","NÃO OBEDECE"))))))</f>
        <v>NÃO OBEDECE</v>
      </c>
      <c r="P101" s="3" t="s">
        <v>62</v>
      </c>
      <c r="Q101" s="4" t="n">
        <v>8538</v>
      </c>
      <c r="R101" s="4" t="n">
        <v>88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  <c r="AH101" s="14" t="n">
        <v>0</v>
      </c>
      <c r="AI101" s="14" t="n">
        <v>0</v>
      </c>
      <c r="AJ101" s="14" t="n">
        <v>0</v>
      </c>
      <c r="AK101" s="14" t="n">
        <v>0</v>
      </c>
      <c r="AL101" s="14" t="n">
        <v>0</v>
      </c>
      <c r="AM101" s="14" t="n">
        <v>0</v>
      </c>
    </row>
    <row r="102" customFormat="false" ht="15" hidden="false" customHeight="false" outlineLevel="0" collapsed="false">
      <c r="A102" s="11" t="s">
        <v>220</v>
      </c>
      <c r="B102" s="11" t="s">
        <v>54</v>
      </c>
      <c r="C102" s="11" t="s">
        <v>41</v>
      </c>
      <c r="D102" s="11" t="s">
        <v>55</v>
      </c>
      <c r="E102" s="11" t="s">
        <v>118</v>
      </c>
      <c r="F102" s="11" t="s">
        <v>57</v>
      </c>
      <c r="G102" s="15" t="s">
        <v>221</v>
      </c>
      <c r="H102" s="11" t="s">
        <v>171</v>
      </c>
      <c r="I102" s="11" t="s">
        <v>171</v>
      </c>
      <c r="J102" s="11" t="s">
        <v>47</v>
      </c>
      <c r="K102" s="11" t="s">
        <v>48</v>
      </c>
      <c r="L102" s="11" t="s">
        <v>49</v>
      </c>
      <c r="M102" s="11" t="s">
        <v>50</v>
      </c>
      <c r="N102" s="11" t="s">
        <v>71</v>
      </c>
      <c r="O102" s="13" t="str">
        <f aca="false">IF(AND(R102&gt;600,Q102&gt;20000),"OBEDECE",IF(AND(R102&gt;300,Q102&gt;=10000,Q102&lt;=20000),"OBEDECE",IF(AND(R102&gt;150,Q102&gt;=5000,Q102&lt;=9999),"OBEDECE",IF(AND(R102&gt;60,Q102&gt;=2000,Q102&lt;=4999),"OBEDECE",IF(AND(R102&gt;30,Q102&gt;=1000,Q102&lt;=1999),"OBEDECE",IF(AND(R102&lt;=29,Q102&lt;=1000),"OBEDECE","NÃO OBEDECE"))))))</f>
        <v>NÃO OBEDECE</v>
      </c>
      <c r="P102" s="3" t="s">
        <v>52</v>
      </c>
      <c r="Q102" s="4" t="n">
        <v>6322</v>
      </c>
      <c r="R102" s="4" t="n">
        <v>113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0</v>
      </c>
      <c r="AH102" s="14" t="n">
        <v>0</v>
      </c>
      <c r="AI102" s="14" t="n">
        <v>0</v>
      </c>
      <c r="AJ102" s="14" t="n">
        <v>0</v>
      </c>
      <c r="AK102" s="14" t="n">
        <v>2</v>
      </c>
      <c r="AL102" s="14" t="n">
        <v>0</v>
      </c>
      <c r="AM102" s="14" t="n">
        <v>0</v>
      </c>
    </row>
    <row r="103" customFormat="false" ht="15" hidden="true" customHeight="false" outlineLevel="0" collapsed="false">
      <c r="A103" s="11" t="s">
        <v>222</v>
      </c>
      <c r="B103" s="11" t="s">
        <v>54</v>
      </c>
      <c r="C103" s="11" t="s">
        <v>41</v>
      </c>
      <c r="D103" s="11" t="s">
        <v>42</v>
      </c>
      <c r="E103" s="11" t="s">
        <v>56</v>
      </c>
      <c r="F103" s="11" t="s">
        <v>57</v>
      </c>
      <c r="G103" s="12"/>
      <c r="H103" s="11" t="s">
        <v>171</v>
      </c>
      <c r="I103" s="11" t="s">
        <v>47</v>
      </c>
      <c r="J103" s="11" t="s">
        <v>47</v>
      </c>
      <c r="K103" s="11" t="s">
        <v>48</v>
      </c>
      <c r="L103" s="11" t="s">
        <v>49</v>
      </c>
      <c r="M103" s="11" t="s">
        <v>60</v>
      </c>
      <c r="N103" s="11" t="s">
        <v>213</v>
      </c>
      <c r="O103" s="13" t="str">
        <f aca="false">IF(AND(R103&gt;600,Q103&gt;20000),"OBEDECE",IF(AND(R103&gt;300,Q103&gt;=10000,Q103&lt;=20000),"OBEDECE",IF(AND(R103&gt;150,Q103&gt;=5000,Q103&lt;=9999),"OBEDECE",IF(AND(R103&gt;60,Q103&gt;=2000,Q103&lt;=4999),"OBEDECE",IF(AND(R103&gt;30,Q103&gt;=1000,Q103&lt;=1999),"OBEDECE",IF(AND(R103&lt;=29,Q103&lt;=1000),"OBEDECE","NÃO OBEDECE"))))))</f>
        <v>OBEDECE</v>
      </c>
      <c r="P103" s="3" t="s">
        <v>62</v>
      </c>
      <c r="Q103" s="4" t="n">
        <v>287</v>
      </c>
      <c r="R103" s="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</row>
    <row r="104" customFormat="false" ht="15" hidden="false" customHeight="false" outlineLevel="0" collapsed="false">
      <c r="A104" s="11" t="s">
        <v>223</v>
      </c>
      <c r="B104" s="11" t="s">
        <v>54</v>
      </c>
      <c r="C104" s="11" t="s">
        <v>66</v>
      </c>
      <c r="D104" s="11" t="s">
        <v>42</v>
      </c>
      <c r="E104" s="11" t="s">
        <v>118</v>
      </c>
      <c r="F104" s="11" t="s">
        <v>57</v>
      </c>
      <c r="G104" s="12" t="s">
        <v>166</v>
      </c>
      <c r="H104" s="11" t="s">
        <v>171</v>
      </c>
      <c r="I104" s="11" t="s">
        <v>171</v>
      </c>
      <c r="J104" s="11" t="s">
        <v>47</v>
      </c>
      <c r="K104" s="11" t="s">
        <v>48</v>
      </c>
      <c r="L104" s="11" t="s">
        <v>49</v>
      </c>
      <c r="M104" s="11" t="s">
        <v>60</v>
      </c>
      <c r="N104" s="11" t="s">
        <v>71</v>
      </c>
      <c r="O104" s="13" t="str">
        <f aca="false">IF(AND(R104&gt;600,Q104&gt;20000),"OBEDECE",IF(AND(R104&gt;300,Q104&gt;=10000,Q104&lt;=20000),"OBEDECE",IF(AND(R104&gt;150,Q104&gt;=5000,Q104&lt;=9999),"OBEDECE",IF(AND(R104&gt;60,Q104&gt;=2000,Q104&lt;=4999),"OBEDECE",IF(AND(R104&gt;30,Q104&gt;=1000,Q104&lt;=1999),"OBEDECE",IF(AND(R104&lt;=29,Q104&lt;=1000),"OBEDECE","NÃO OBEDECE"))))))</f>
        <v>NÃO OBEDECE</v>
      </c>
      <c r="P104" s="3" t="s">
        <v>62</v>
      </c>
      <c r="Q104" s="4" t="n">
        <v>8078</v>
      </c>
      <c r="R104" s="4" t="n">
        <v>145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0</v>
      </c>
      <c r="AG104" s="14" t="n">
        <v>0</v>
      </c>
      <c r="AH104" s="14" t="n">
        <v>0</v>
      </c>
      <c r="AI104" s="14" t="n">
        <v>0</v>
      </c>
      <c r="AJ104" s="14" t="n">
        <v>0</v>
      </c>
      <c r="AK104" s="14" t="n">
        <v>0</v>
      </c>
      <c r="AL104" s="14" t="n">
        <v>0</v>
      </c>
      <c r="AM104" s="14" t="n">
        <v>0</v>
      </c>
    </row>
    <row r="105" customFormat="false" ht="15" hidden="false" customHeight="false" outlineLevel="0" collapsed="false">
      <c r="A105" s="11" t="s">
        <v>224</v>
      </c>
      <c r="B105" s="11" t="s">
        <v>40</v>
      </c>
      <c r="C105" s="11" t="s">
        <v>66</v>
      </c>
      <c r="D105" s="11" t="s">
        <v>42</v>
      </c>
      <c r="E105" s="11" t="s">
        <v>118</v>
      </c>
      <c r="F105" s="11" t="s">
        <v>57</v>
      </c>
      <c r="G105" s="12" t="s">
        <v>208</v>
      </c>
      <c r="H105" s="11" t="s">
        <v>171</v>
      </c>
      <c r="I105" s="11" t="s">
        <v>171</v>
      </c>
      <c r="J105" s="11" t="s">
        <v>47</v>
      </c>
      <c r="K105" s="11" t="s">
        <v>48</v>
      </c>
      <c r="L105" s="11" t="s">
        <v>49</v>
      </c>
      <c r="M105" s="11" t="s">
        <v>60</v>
      </c>
      <c r="N105" s="11" t="s">
        <v>123</v>
      </c>
      <c r="O105" s="13" t="str">
        <f aca="false">IF(AND(R105&gt;600,Q105&gt;20000),"OBEDECE",IF(AND(R105&gt;300,Q105&gt;=10000,Q105&lt;=20000),"OBEDECE",IF(AND(R105&gt;150,Q105&gt;=5000,Q105&lt;=9999),"OBEDECE",IF(AND(R105&gt;60,Q105&gt;=2000,Q105&lt;=4999),"OBEDECE",IF(AND(R105&gt;30,Q105&gt;=1000,Q105&lt;=1999),"OBEDECE",IF(AND(R105&lt;=29,Q105&lt;=1000),"OBEDECE","NÃO OBEDECE"))))))</f>
        <v>OBEDECE</v>
      </c>
      <c r="P105" s="3" t="s">
        <v>62</v>
      </c>
      <c r="Q105" s="4" t="n">
        <v>3366</v>
      </c>
      <c r="R105" s="4" t="n">
        <v>127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</row>
    <row r="106" customFormat="false" ht="15" hidden="false" customHeight="false" outlineLevel="0" collapsed="false">
      <c r="A106" s="11" t="s">
        <v>225</v>
      </c>
      <c r="B106" s="11" t="s">
        <v>40</v>
      </c>
      <c r="C106" s="11" t="s">
        <v>41</v>
      </c>
      <c r="D106" s="11" t="s">
        <v>42</v>
      </c>
      <c r="E106" s="11" t="s">
        <v>118</v>
      </c>
      <c r="F106" s="11" t="s">
        <v>57</v>
      </c>
      <c r="G106" s="12" t="s">
        <v>76</v>
      </c>
      <c r="H106" s="11" t="s">
        <v>171</v>
      </c>
      <c r="I106" s="11" t="s">
        <v>171</v>
      </c>
      <c r="J106" s="11" t="s">
        <v>47</v>
      </c>
      <c r="K106" s="11" t="s">
        <v>48</v>
      </c>
      <c r="L106" s="11" t="s">
        <v>49</v>
      </c>
      <c r="M106" s="11" t="s">
        <v>50</v>
      </c>
      <c r="N106" s="11" t="s">
        <v>51</v>
      </c>
      <c r="O106" s="13" t="str">
        <f aca="false">IF(AND(R106&gt;600,Q106&gt;20000),"OBEDECE",IF(AND(R106&gt;300,Q106&gt;=10000,Q106&lt;=20000),"OBEDECE",IF(AND(R106&gt;150,Q106&gt;=5000,Q106&lt;=9999),"OBEDECE",IF(AND(R106&gt;60,Q106&gt;=2000,Q106&lt;=4999),"OBEDECE",IF(AND(R106&gt;30,Q106&gt;=1000,Q106&lt;=1999),"OBEDECE",IF(AND(R106&lt;=29,Q106&lt;=1000),"OBEDECE","NÃO OBEDECE"))))))</f>
        <v>NÃO OBEDECE</v>
      </c>
      <c r="P106" s="3" t="s">
        <v>62</v>
      </c>
      <c r="Q106" s="4" t="n">
        <v>40205</v>
      </c>
      <c r="R106" s="4" t="n">
        <v>106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0</v>
      </c>
      <c r="AG106" s="14" t="n">
        <v>0</v>
      </c>
      <c r="AH106" s="14" t="n">
        <v>0</v>
      </c>
      <c r="AI106" s="14" t="n">
        <v>0</v>
      </c>
      <c r="AJ106" s="14" t="n">
        <v>0</v>
      </c>
      <c r="AK106" s="14" t="n">
        <v>0</v>
      </c>
      <c r="AL106" s="14" t="n">
        <v>0</v>
      </c>
      <c r="AM106" s="14" t="n">
        <v>0</v>
      </c>
    </row>
    <row r="107" customFormat="false" ht="15" hidden="true" customHeight="false" outlineLevel="0" collapsed="false">
      <c r="A107" s="11" t="s">
        <v>226</v>
      </c>
      <c r="B107" s="11" t="s">
        <v>40</v>
      </c>
      <c r="C107" s="11" t="s">
        <v>41</v>
      </c>
      <c r="D107" s="11" t="s">
        <v>55</v>
      </c>
      <c r="E107" s="11" t="s">
        <v>43</v>
      </c>
      <c r="F107" s="11" t="s">
        <v>44</v>
      </c>
      <c r="G107" s="12"/>
      <c r="H107" s="11" t="s">
        <v>171</v>
      </c>
      <c r="I107" s="11" t="s">
        <v>47</v>
      </c>
      <c r="J107" s="11" t="s">
        <v>47</v>
      </c>
      <c r="K107" s="11" t="s">
        <v>59</v>
      </c>
      <c r="L107" s="11" t="s">
        <v>49</v>
      </c>
      <c r="M107" s="11" t="s">
        <v>60</v>
      </c>
      <c r="N107" s="11" t="s">
        <v>123</v>
      </c>
      <c r="O107" s="13" t="str">
        <f aca="false">IF(AND(R107&gt;600,Q107&gt;20000),"OBEDECE",IF(AND(R107&gt;300,Q107&gt;=10000,Q107&lt;=20000),"OBEDECE",IF(AND(R107&gt;150,Q107&gt;=5000,Q107&lt;=9999),"OBEDECE",IF(AND(R107&gt;60,Q107&gt;=2000,Q107&lt;=4999),"OBEDECE",IF(AND(R107&gt;30,Q107&gt;=1000,Q107&lt;=1999),"OBEDECE",IF(AND(R107&lt;=29,Q107&lt;=1000),"OBEDECE","NÃO OBEDECE"))))))</f>
        <v>NÃO OBEDECE</v>
      </c>
      <c r="P107" s="3" t="s">
        <v>62</v>
      </c>
      <c r="Q107" s="4" t="n">
        <v>2402</v>
      </c>
      <c r="R107" s="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</row>
    <row r="108" customFormat="false" ht="15" hidden="false" customHeight="false" outlineLevel="0" collapsed="false">
      <c r="A108" s="11" t="s">
        <v>227</v>
      </c>
      <c r="B108" s="11" t="s">
        <v>40</v>
      </c>
      <c r="C108" s="11" t="s">
        <v>66</v>
      </c>
      <c r="D108" s="11" t="s">
        <v>55</v>
      </c>
      <c r="E108" s="11" t="s">
        <v>118</v>
      </c>
      <c r="F108" s="11" t="s">
        <v>57</v>
      </c>
      <c r="G108" s="12" t="s">
        <v>228</v>
      </c>
      <c r="H108" s="11" t="s">
        <v>171</v>
      </c>
      <c r="I108" s="11" t="s">
        <v>171</v>
      </c>
      <c r="J108" s="11" t="s">
        <v>47</v>
      </c>
      <c r="K108" s="11" t="s">
        <v>59</v>
      </c>
      <c r="L108" s="11" t="s">
        <v>49</v>
      </c>
      <c r="M108" s="11" t="s">
        <v>60</v>
      </c>
      <c r="N108" s="11" t="s">
        <v>71</v>
      </c>
      <c r="O108" s="13" t="str">
        <f aca="false">IF(AND(R108&gt;600,Q108&gt;20000),"OBEDECE",IF(AND(R108&gt;300,Q108&gt;=10000,Q108&lt;=20000),"OBEDECE",IF(AND(R108&gt;150,Q108&gt;=5000,Q108&lt;=9999),"OBEDECE",IF(AND(R108&gt;60,Q108&gt;=2000,Q108&lt;=4999),"OBEDECE",IF(AND(R108&gt;30,Q108&gt;=1000,Q108&lt;=1999),"OBEDECE",IF(AND(R108&lt;=29,Q108&lt;=1000),"OBEDECE","NÃO OBEDECE"))))))</f>
        <v>NÃO OBEDECE</v>
      </c>
      <c r="P108" s="3" t="s">
        <v>62</v>
      </c>
      <c r="Q108" s="4" t="n">
        <v>6553</v>
      </c>
      <c r="R108" s="4" t="n">
        <v>110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</v>
      </c>
      <c r="AE108" s="14" t="n">
        <v>0</v>
      </c>
      <c r="AF108" s="14" t="n">
        <v>0</v>
      </c>
      <c r="AG108" s="14" t="n">
        <v>0</v>
      </c>
      <c r="AH108" s="14" t="n">
        <v>0</v>
      </c>
      <c r="AI108" s="14" t="n">
        <v>0</v>
      </c>
      <c r="AJ108" s="14" t="n">
        <v>0</v>
      </c>
      <c r="AK108" s="14" t="n">
        <v>0</v>
      </c>
      <c r="AL108" s="14" t="n">
        <v>0</v>
      </c>
      <c r="AM108" s="14" t="n">
        <v>0</v>
      </c>
    </row>
    <row r="109" customFormat="false" ht="15" hidden="false" customHeight="false" outlineLevel="0" collapsed="false">
      <c r="A109" s="11" t="s">
        <v>229</v>
      </c>
      <c r="B109" s="11" t="s">
        <v>54</v>
      </c>
      <c r="C109" s="11" t="s">
        <v>66</v>
      </c>
      <c r="D109" s="11" t="s">
        <v>42</v>
      </c>
      <c r="E109" s="11" t="s">
        <v>118</v>
      </c>
      <c r="F109" s="11" t="s">
        <v>57</v>
      </c>
      <c r="G109" s="12" t="s">
        <v>116</v>
      </c>
      <c r="H109" s="11" t="s">
        <v>171</v>
      </c>
      <c r="I109" s="11" t="s">
        <v>171</v>
      </c>
      <c r="J109" s="11" t="s">
        <v>47</v>
      </c>
      <c r="K109" s="11" t="s">
        <v>48</v>
      </c>
      <c r="L109" s="11" t="s">
        <v>49</v>
      </c>
      <c r="M109" s="11" t="s">
        <v>60</v>
      </c>
      <c r="N109" s="11" t="s">
        <v>61</v>
      </c>
      <c r="O109" s="13" t="str">
        <f aca="false">IF(AND(R109&gt;600,Q109&gt;20000),"OBEDECE",IF(AND(R109&gt;300,Q109&gt;=10000,Q109&lt;=20000),"OBEDECE",IF(AND(R109&gt;150,Q109&gt;=5000,Q109&lt;=9999),"OBEDECE",IF(AND(R109&gt;60,Q109&gt;=2000,Q109&lt;=4999),"OBEDECE",IF(AND(R109&gt;30,Q109&gt;=1000,Q109&lt;=1999),"OBEDECE",IF(AND(R109&lt;=29,Q109&lt;=1000),"OBEDECE","NÃO OBEDECE"))))))</f>
        <v>NÃO OBEDECE</v>
      </c>
      <c r="P109" s="3" t="s">
        <v>62</v>
      </c>
      <c r="Q109" s="4" t="n">
        <v>19911</v>
      </c>
      <c r="R109" s="4" t="n">
        <v>130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</row>
    <row r="110" customFormat="false" ht="15" hidden="false" customHeight="false" outlineLevel="0" collapsed="false">
      <c r="A110" s="11" t="s">
        <v>230</v>
      </c>
      <c r="B110" s="11" t="s">
        <v>54</v>
      </c>
      <c r="C110" s="11" t="s">
        <v>66</v>
      </c>
      <c r="D110" s="11" t="s">
        <v>55</v>
      </c>
      <c r="E110" s="11" t="s">
        <v>118</v>
      </c>
      <c r="F110" s="11" t="s">
        <v>57</v>
      </c>
      <c r="G110" s="12" t="s">
        <v>112</v>
      </c>
      <c r="H110" s="11" t="s">
        <v>171</v>
      </c>
      <c r="I110" s="11" t="s">
        <v>171</v>
      </c>
      <c r="J110" s="11" t="s">
        <v>47</v>
      </c>
      <c r="K110" s="11" t="s">
        <v>48</v>
      </c>
      <c r="L110" s="11" t="s">
        <v>49</v>
      </c>
      <c r="M110" s="11" t="s">
        <v>50</v>
      </c>
      <c r="N110" s="11" t="s">
        <v>123</v>
      </c>
      <c r="O110" s="13" t="str">
        <f aca="false">IF(AND(R110&gt;600,Q110&gt;20000),"OBEDECE",IF(AND(R110&gt;300,Q110&gt;=10000,Q110&lt;=20000),"OBEDECE",IF(AND(R110&gt;150,Q110&gt;=5000,Q110&lt;=9999),"OBEDECE",IF(AND(R110&gt;60,Q110&gt;=2000,Q110&lt;=4999),"OBEDECE",IF(AND(R110&gt;30,Q110&gt;=1000,Q110&lt;=1999),"OBEDECE",IF(AND(R110&lt;=29,Q110&lt;=1000),"OBEDECE","NÃO OBEDECE"))))))</f>
        <v>OBEDECE</v>
      </c>
      <c r="P110" s="3" t="s">
        <v>62</v>
      </c>
      <c r="Q110" s="4" t="n">
        <v>3001</v>
      </c>
      <c r="R110" s="4" t="n">
        <v>110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0</v>
      </c>
      <c r="AH110" s="14" t="n">
        <v>0</v>
      </c>
      <c r="AI110" s="14" t="n">
        <v>0</v>
      </c>
      <c r="AJ110" s="14" t="n">
        <v>0</v>
      </c>
      <c r="AK110" s="14" t="n">
        <v>0</v>
      </c>
      <c r="AL110" s="14" t="n">
        <v>0</v>
      </c>
      <c r="AM110" s="14" t="n">
        <v>0</v>
      </c>
    </row>
    <row r="111" customFormat="false" ht="15" hidden="false" customHeight="false" outlineLevel="0" collapsed="false">
      <c r="A111" s="11" t="s">
        <v>231</v>
      </c>
      <c r="B111" s="11" t="s">
        <v>40</v>
      </c>
      <c r="C111" s="11" t="s">
        <v>41</v>
      </c>
      <c r="D111" s="11" t="s">
        <v>42</v>
      </c>
      <c r="E111" s="11" t="s">
        <v>118</v>
      </c>
      <c r="F111" s="11" t="s">
        <v>57</v>
      </c>
      <c r="G111" s="15" t="s">
        <v>232</v>
      </c>
      <c r="H111" s="11" t="s">
        <v>171</v>
      </c>
      <c r="I111" s="11" t="s">
        <v>171</v>
      </c>
      <c r="J111" s="11" t="s">
        <v>47</v>
      </c>
      <c r="K111" s="11" t="s">
        <v>48</v>
      </c>
      <c r="L111" s="11" t="s">
        <v>49</v>
      </c>
      <c r="M111" s="11" t="s">
        <v>50</v>
      </c>
      <c r="N111" s="11" t="s">
        <v>51</v>
      </c>
      <c r="O111" s="13" t="str">
        <f aca="false">IF(AND(R111&gt;600,Q111&gt;20000),"OBEDECE",IF(AND(R111&gt;300,Q111&gt;=10000,Q111&lt;=20000),"OBEDECE",IF(AND(R111&gt;150,Q111&gt;=5000,Q111&lt;=9999),"OBEDECE",IF(AND(R111&gt;60,Q111&gt;=2000,Q111&lt;=4999),"OBEDECE",IF(AND(R111&gt;30,Q111&gt;=1000,Q111&lt;=1999),"OBEDECE",IF(AND(R111&lt;=29,Q111&lt;=1000),"OBEDECE","NÃO OBEDECE"))))))</f>
        <v>NÃO OBEDECE</v>
      </c>
      <c r="P111" s="3" t="s">
        <v>52</v>
      </c>
      <c r="Q111" s="4" t="n">
        <v>20904</v>
      </c>
      <c r="R111" s="4" t="n">
        <v>309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1</v>
      </c>
      <c r="AK111" s="14" t="n">
        <v>1</v>
      </c>
      <c r="AL111" s="14" t="n">
        <v>0</v>
      </c>
      <c r="AM111" s="14" t="n">
        <v>0</v>
      </c>
    </row>
    <row r="112" customFormat="false" ht="15" hidden="false" customHeight="false" outlineLevel="0" collapsed="false">
      <c r="A112" s="11" t="s">
        <v>233</v>
      </c>
      <c r="B112" s="11" t="s">
        <v>54</v>
      </c>
      <c r="C112" s="11" t="s">
        <v>66</v>
      </c>
      <c r="D112" s="11" t="s">
        <v>55</v>
      </c>
      <c r="E112" s="11" t="s">
        <v>118</v>
      </c>
      <c r="F112" s="11" t="s">
        <v>57</v>
      </c>
      <c r="G112" s="15" t="s">
        <v>129</v>
      </c>
      <c r="H112" s="11" t="s">
        <v>171</v>
      </c>
      <c r="I112" s="11" t="s">
        <v>171</v>
      </c>
      <c r="J112" s="11" t="s">
        <v>47</v>
      </c>
      <c r="K112" s="11" t="s">
        <v>59</v>
      </c>
      <c r="L112" s="11" t="s">
        <v>49</v>
      </c>
      <c r="M112" s="11" t="s">
        <v>60</v>
      </c>
      <c r="N112" s="11" t="s">
        <v>123</v>
      </c>
      <c r="O112" s="13" t="str">
        <f aca="false">IF(AND(R112&gt;600,Q112&gt;20000),"OBEDECE",IF(AND(R112&gt;300,Q112&gt;=10000,Q112&lt;=20000),"OBEDECE",IF(AND(R112&gt;150,Q112&gt;=5000,Q112&lt;=9999),"OBEDECE",IF(AND(R112&gt;60,Q112&gt;=2000,Q112&lt;=4999),"OBEDECE",IF(AND(R112&gt;30,Q112&gt;=1000,Q112&lt;=1999),"OBEDECE",IF(AND(R112&lt;=29,Q112&lt;=1000),"OBEDECE","NÃO OBEDECE"))))))</f>
        <v>OBEDECE</v>
      </c>
      <c r="P112" s="3" t="s">
        <v>62</v>
      </c>
      <c r="Q112" s="4" t="n">
        <v>4708</v>
      </c>
      <c r="R112" s="4" t="n">
        <v>130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</v>
      </c>
      <c r="AE112" s="14" t="n">
        <v>0</v>
      </c>
      <c r="AF112" s="14" t="n">
        <v>0</v>
      </c>
      <c r="AG112" s="14" t="n">
        <v>0</v>
      </c>
      <c r="AH112" s="14" t="n">
        <v>0</v>
      </c>
      <c r="AI112" s="14" t="n">
        <v>0</v>
      </c>
      <c r="AJ112" s="14" t="n">
        <v>0</v>
      </c>
      <c r="AK112" s="14" t="n">
        <v>0</v>
      </c>
      <c r="AL112" s="14" t="n">
        <v>0</v>
      </c>
      <c r="AM112" s="14" t="n">
        <v>0</v>
      </c>
    </row>
    <row r="113" customFormat="false" ht="15" hidden="false" customHeight="false" outlineLevel="0" collapsed="false">
      <c r="A113" s="11" t="s">
        <v>234</v>
      </c>
      <c r="B113" s="11" t="s">
        <v>54</v>
      </c>
      <c r="C113" s="11" t="s">
        <v>66</v>
      </c>
      <c r="D113" s="11" t="s">
        <v>55</v>
      </c>
      <c r="E113" s="11" t="s">
        <v>118</v>
      </c>
      <c r="F113" s="11" t="s">
        <v>57</v>
      </c>
      <c r="G113" s="12" t="s">
        <v>235</v>
      </c>
      <c r="H113" s="11" t="s">
        <v>171</v>
      </c>
      <c r="I113" s="11" t="s">
        <v>171</v>
      </c>
      <c r="J113" s="11" t="s">
        <v>47</v>
      </c>
      <c r="K113" s="11" t="s">
        <v>59</v>
      </c>
      <c r="L113" s="11" t="s">
        <v>135</v>
      </c>
      <c r="M113" s="11" t="s">
        <v>50</v>
      </c>
      <c r="N113" s="11" t="s">
        <v>61</v>
      </c>
      <c r="O113" s="13" t="str">
        <f aca="false">IF(AND(R113&gt;600,Q113&gt;20000),"OBEDECE",IF(AND(R113&gt;300,Q113&gt;=10000,Q113&lt;=20000),"OBEDECE",IF(AND(R113&gt;150,Q113&gt;=5000,Q113&lt;=9999),"OBEDECE",IF(AND(R113&gt;60,Q113&gt;=2000,Q113&lt;=4999),"OBEDECE",IF(AND(R113&gt;30,Q113&gt;=1000,Q113&lt;=1999),"OBEDECE",IF(AND(R113&lt;=29,Q113&lt;=1000),"OBEDECE","NÃO OBEDECE"))))))</f>
        <v>NÃO OBEDECE</v>
      </c>
      <c r="P113" s="3" t="s">
        <v>68</v>
      </c>
      <c r="Q113" s="4" t="n">
        <v>19553</v>
      </c>
      <c r="R113" s="4" t="n">
        <v>133</v>
      </c>
      <c r="S113" s="14" t="n">
        <v>0</v>
      </c>
      <c r="T113" s="14" t="n">
        <v>0</v>
      </c>
      <c r="U113" s="14" t="n">
        <v>0</v>
      </c>
      <c r="V113" s="14" t="n">
        <v>1</v>
      </c>
      <c r="W113" s="14" t="n">
        <v>0</v>
      </c>
      <c r="X113" s="14" t="n">
        <v>0</v>
      </c>
      <c r="Y113" s="14" t="n">
        <v>1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</row>
    <row r="114" customFormat="false" ht="15" hidden="false" customHeight="false" outlineLevel="0" collapsed="false">
      <c r="A114" s="11" t="s">
        <v>236</v>
      </c>
      <c r="B114" s="11" t="s">
        <v>40</v>
      </c>
      <c r="C114" s="11" t="s">
        <v>41</v>
      </c>
      <c r="D114" s="11" t="s">
        <v>42</v>
      </c>
      <c r="E114" s="11" t="s">
        <v>118</v>
      </c>
      <c r="F114" s="11" t="s">
        <v>57</v>
      </c>
      <c r="G114" s="12" t="s">
        <v>112</v>
      </c>
      <c r="H114" s="11" t="s">
        <v>171</v>
      </c>
      <c r="I114" s="11" t="s">
        <v>171</v>
      </c>
      <c r="J114" s="11" t="s">
        <v>47</v>
      </c>
      <c r="K114" s="11" t="s">
        <v>59</v>
      </c>
      <c r="L114" s="11" t="s">
        <v>74</v>
      </c>
      <c r="M114" s="11" t="s">
        <v>50</v>
      </c>
      <c r="N114" s="11" t="s">
        <v>51</v>
      </c>
      <c r="O114" s="13" t="str">
        <f aca="false">IF(AND(R114&gt;600,Q114&gt;20000),"OBEDECE",IF(AND(R114&gt;300,Q114&gt;=10000,Q114&lt;=20000),"OBEDECE",IF(AND(R114&gt;150,Q114&gt;=5000,Q114&lt;=9999),"OBEDECE",IF(AND(R114&gt;60,Q114&gt;=2000,Q114&lt;=4999),"OBEDECE",IF(AND(R114&gt;30,Q114&gt;=1000,Q114&lt;=1999),"OBEDECE",IF(AND(R114&lt;=29,Q114&lt;=1000),"OBEDECE","NÃO OBEDECE"))))))</f>
        <v>NÃO OBEDECE</v>
      </c>
      <c r="P114" s="3" t="s">
        <v>62</v>
      </c>
      <c r="Q114" s="4" t="n">
        <v>21546</v>
      </c>
      <c r="R114" s="4" t="n">
        <v>133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  <c r="AH114" s="14" t="n">
        <v>0</v>
      </c>
      <c r="AI114" s="14" t="n">
        <v>0</v>
      </c>
      <c r="AJ114" s="14" t="n">
        <v>0</v>
      </c>
      <c r="AK114" s="14" t="n">
        <v>0</v>
      </c>
      <c r="AL114" s="14" t="n">
        <v>0</v>
      </c>
      <c r="AM114" s="14" t="n">
        <v>0</v>
      </c>
    </row>
    <row r="115" customFormat="false" ht="15" hidden="false" customHeight="false" outlineLevel="0" collapsed="false">
      <c r="A115" s="11" t="s">
        <v>237</v>
      </c>
      <c r="B115" s="11" t="s">
        <v>40</v>
      </c>
      <c r="C115" s="11" t="s">
        <v>66</v>
      </c>
      <c r="D115" s="11" t="s">
        <v>42</v>
      </c>
      <c r="E115" s="11" t="s">
        <v>118</v>
      </c>
      <c r="F115" s="11" t="s">
        <v>57</v>
      </c>
      <c r="G115" s="15" t="s">
        <v>238</v>
      </c>
      <c r="H115" s="11" t="s">
        <v>171</v>
      </c>
      <c r="I115" s="11" t="s">
        <v>171</v>
      </c>
      <c r="J115" s="11" t="s">
        <v>47</v>
      </c>
      <c r="K115" s="11" t="s">
        <v>59</v>
      </c>
      <c r="L115" s="11" t="s">
        <v>74</v>
      </c>
      <c r="M115" s="11" t="s">
        <v>60</v>
      </c>
      <c r="N115" s="11" t="s">
        <v>61</v>
      </c>
      <c r="O115" s="13" t="str">
        <f aca="false">IF(AND(R115&gt;600,Q115&gt;20000),"OBEDECE",IF(AND(R115&gt;300,Q115&gt;=10000,Q115&lt;=20000),"OBEDECE",IF(AND(R115&gt;150,Q115&gt;=5000,Q115&lt;=9999),"OBEDECE",IF(AND(R115&gt;60,Q115&gt;=2000,Q115&lt;=4999),"OBEDECE",IF(AND(R115&gt;30,Q115&gt;=1000,Q115&lt;=1999),"OBEDECE",IF(AND(R115&lt;=29,Q115&lt;=1000),"OBEDECE","NÃO OBEDECE"))))))</f>
        <v>NÃO OBEDECE</v>
      </c>
      <c r="P115" s="3" t="s">
        <v>62</v>
      </c>
      <c r="Q115" s="4" t="n">
        <v>13710</v>
      </c>
      <c r="R115" s="4" t="n">
        <v>133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</row>
    <row r="116" customFormat="false" ht="15" hidden="false" customHeight="false" outlineLevel="0" collapsed="false">
      <c r="A116" s="10" t="s">
        <v>239</v>
      </c>
      <c r="B116" s="11" t="s">
        <v>40</v>
      </c>
      <c r="C116" s="11" t="s">
        <v>41</v>
      </c>
      <c r="D116" s="11" t="s">
        <v>42</v>
      </c>
      <c r="E116" s="11" t="s">
        <v>43</v>
      </c>
      <c r="F116" s="11" t="s">
        <v>44</v>
      </c>
      <c r="G116" s="12" t="s">
        <v>240</v>
      </c>
      <c r="H116" s="11" t="s">
        <v>171</v>
      </c>
      <c r="I116" s="11" t="s">
        <v>47</v>
      </c>
      <c r="J116" s="11" t="s">
        <v>46</v>
      </c>
      <c r="K116" s="11" t="s">
        <v>59</v>
      </c>
      <c r="L116" s="11" t="s">
        <v>74</v>
      </c>
      <c r="M116" s="11" t="s">
        <v>50</v>
      </c>
      <c r="N116" s="11" t="s">
        <v>51</v>
      </c>
      <c r="O116" s="13" t="str">
        <f aca="false">IF(AND(R116&gt;600,Q116&gt;20000),"OBEDECE",IF(AND(R116&gt;300,Q116&gt;=10000,Q116&lt;=20000),"OBEDECE",IF(AND(R116&gt;150,Q116&gt;=5000,Q116&lt;=9999),"OBEDECE",IF(AND(R116&gt;60,Q116&gt;=2000,Q116&lt;=4999),"OBEDECE",IF(AND(R116&gt;30,Q116&gt;=1000,Q116&lt;=1999),"OBEDECE",IF(AND(R116&lt;=29,Q116&lt;=1000),"OBEDECE","NÃO OBEDECE"))))))</f>
        <v>NÃO OBEDECE</v>
      </c>
      <c r="P116" s="3" t="s">
        <v>52</v>
      </c>
      <c r="Q116" s="4" t="n">
        <v>20945</v>
      </c>
      <c r="R116" s="4" t="n">
        <v>164</v>
      </c>
      <c r="S116" s="14" t="n">
        <v>0</v>
      </c>
      <c r="T116" s="14" t="n">
        <v>1</v>
      </c>
      <c r="U116" s="14" t="n">
        <v>1</v>
      </c>
      <c r="V116" s="14" t="n">
        <v>1</v>
      </c>
      <c r="W116" s="14" t="n">
        <v>0</v>
      </c>
      <c r="X116" s="14" t="n">
        <v>0</v>
      </c>
      <c r="Y116" s="14" t="n">
        <v>1</v>
      </c>
      <c r="Z116" s="14" t="n">
        <v>1</v>
      </c>
      <c r="AA116" s="14" t="n">
        <v>0</v>
      </c>
      <c r="AB116" s="14" t="n">
        <v>0</v>
      </c>
      <c r="AC116" s="14" t="n">
        <v>0</v>
      </c>
      <c r="AD116" s="14" t="n">
        <v>0</v>
      </c>
      <c r="AE116" s="14" t="n">
        <v>0</v>
      </c>
      <c r="AF116" s="14" t="n">
        <v>0</v>
      </c>
      <c r="AG116" s="14" t="n">
        <v>0</v>
      </c>
      <c r="AH116" s="14" t="n">
        <v>0</v>
      </c>
      <c r="AI116" s="14" t="n">
        <v>0</v>
      </c>
      <c r="AJ116" s="14" t="n">
        <v>0</v>
      </c>
      <c r="AK116" s="14" t="n">
        <v>1</v>
      </c>
      <c r="AL116" s="14" t="n">
        <v>0</v>
      </c>
      <c r="AM116" s="14" t="n">
        <v>0</v>
      </c>
    </row>
    <row r="117" customFormat="false" ht="15" hidden="false" customHeight="false" outlineLevel="0" collapsed="false">
      <c r="A117" s="11" t="s">
        <v>241</v>
      </c>
      <c r="B117" s="11" t="s">
        <v>54</v>
      </c>
      <c r="C117" s="11" t="s">
        <v>41</v>
      </c>
      <c r="D117" s="11" t="s">
        <v>55</v>
      </c>
      <c r="E117" s="11" t="s">
        <v>118</v>
      </c>
      <c r="F117" s="11" t="s">
        <v>57</v>
      </c>
      <c r="G117" s="12" t="s">
        <v>242</v>
      </c>
      <c r="H117" s="11" t="s">
        <v>171</v>
      </c>
      <c r="I117" s="11" t="s">
        <v>171</v>
      </c>
      <c r="J117" s="11" t="s">
        <v>47</v>
      </c>
      <c r="K117" s="11" t="s">
        <v>59</v>
      </c>
      <c r="L117" s="11" t="s">
        <v>74</v>
      </c>
      <c r="M117" s="11" t="s">
        <v>60</v>
      </c>
      <c r="N117" s="11" t="s">
        <v>71</v>
      </c>
      <c r="O117" s="13" t="str">
        <f aca="false">IF(AND(R117&gt;600,Q117&gt;20000),"OBEDECE",IF(AND(R117&gt;300,Q117&gt;=10000,Q117&lt;=20000),"OBEDECE",IF(AND(R117&gt;150,Q117&gt;=5000,Q117&lt;=9999),"OBEDECE",IF(AND(R117&gt;60,Q117&gt;=2000,Q117&lt;=4999),"OBEDECE",IF(AND(R117&gt;30,Q117&gt;=1000,Q117&lt;=1999),"OBEDECE",IF(AND(R117&lt;=29,Q117&lt;=1000),"OBEDECE","NÃO OBEDECE"))))))</f>
        <v>NÃO OBEDECE</v>
      </c>
      <c r="P117" s="3" t="s">
        <v>62</v>
      </c>
      <c r="Q117" s="4" t="n">
        <v>8936</v>
      </c>
      <c r="R117" s="4" t="n">
        <v>131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</row>
    <row r="118" customFormat="false" ht="15" hidden="false" customHeight="false" outlineLevel="0" collapsed="false">
      <c r="A118" s="11" t="s">
        <v>243</v>
      </c>
      <c r="B118" s="11" t="s">
        <v>54</v>
      </c>
      <c r="C118" s="11" t="s">
        <v>41</v>
      </c>
      <c r="D118" s="11" t="s">
        <v>42</v>
      </c>
      <c r="E118" s="11" t="s">
        <v>118</v>
      </c>
      <c r="F118" s="11" t="s">
        <v>57</v>
      </c>
      <c r="G118" s="12" t="s">
        <v>244</v>
      </c>
      <c r="H118" s="11" t="s">
        <v>171</v>
      </c>
      <c r="I118" s="11" t="s">
        <v>171</v>
      </c>
      <c r="J118" s="11" t="s">
        <v>47</v>
      </c>
      <c r="K118" s="11" t="s">
        <v>59</v>
      </c>
      <c r="L118" s="11" t="s">
        <v>135</v>
      </c>
      <c r="M118" s="11" t="s">
        <v>60</v>
      </c>
      <c r="N118" s="11" t="s">
        <v>61</v>
      </c>
      <c r="O118" s="13" t="str">
        <f aca="false">IF(AND(R118&gt;600,Q118&gt;20000),"OBEDECE",IF(AND(R118&gt;300,Q118&gt;=10000,Q118&lt;=20000),"OBEDECE",IF(AND(R118&gt;150,Q118&gt;=5000,Q118&lt;=9999),"OBEDECE",IF(AND(R118&gt;60,Q118&gt;=2000,Q118&lt;=4999),"OBEDECE",IF(AND(R118&gt;30,Q118&gt;=1000,Q118&lt;=1999),"OBEDECE",IF(AND(R118&lt;=29,Q118&lt;=1000),"OBEDECE","NÃO OBEDECE"))))))</f>
        <v>NÃO OBEDECE</v>
      </c>
      <c r="P118" s="3" t="s">
        <v>52</v>
      </c>
      <c r="Q118" s="4" t="n">
        <v>18187</v>
      </c>
      <c r="R118" s="4" t="n">
        <v>134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1</v>
      </c>
      <c r="AA118" s="14" t="n">
        <v>0</v>
      </c>
      <c r="AB118" s="14" t="n">
        <v>0</v>
      </c>
      <c r="AC118" s="14" t="n">
        <v>0</v>
      </c>
      <c r="AD118" s="14" t="n">
        <v>0</v>
      </c>
      <c r="AE118" s="14" t="n">
        <v>0</v>
      </c>
      <c r="AF118" s="14" t="n">
        <v>0</v>
      </c>
      <c r="AG118" s="14" t="n">
        <v>0</v>
      </c>
      <c r="AH118" s="14" t="n">
        <v>0</v>
      </c>
      <c r="AI118" s="14" t="n">
        <v>0</v>
      </c>
      <c r="AJ118" s="14" t="n">
        <v>0</v>
      </c>
      <c r="AK118" s="14" t="n">
        <v>1</v>
      </c>
      <c r="AL118" s="14" t="n">
        <v>0</v>
      </c>
      <c r="AM118" s="14" t="n">
        <v>0</v>
      </c>
    </row>
    <row r="119" customFormat="false" ht="15" hidden="false" customHeight="false" outlineLevel="0" collapsed="false">
      <c r="A119" s="11" t="s">
        <v>245</v>
      </c>
      <c r="B119" s="11" t="s">
        <v>54</v>
      </c>
      <c r="C119" s="11" t="s">
        <v>66</v>
      </c>
      <c r="D119" s="11" t="s">
        <v>55</v>
      </c>
      <c r="E119" s="11" t="s">
        <v>118</v>
      </c>
      <c r="F119" s="11" t="s">
        <v>57</v>
      </c>
      <c r="G119" s="12" t="s">
        <v>242</v>
      </c>
      <c r="H119" s="11" t="s">
        <v>171</v>
      </c>
      <c r="I119" s="11" t="s">
        <v>171</v>
      </c>
      <c r="J119" s="11" t="s">
        <v>47</v>
      </c>
      <c r="K119" s="11" t="s">
        <v>59</v>
      </c>
      <c r="L119" s="11" t="s">
        <v>49</v>
      </c>
      <c r="M119" s="11" t="s">
        <v>60</v>
      </c>
      <c r="N119" s="11" t="s">
        <v>61</v>
      </c>
      <c r="O119" s="13" t="str">
        <f aca="false">IF(AND(R119&gt;600,Q119&gt;20000),"OBEDECE",IF(AND(R119&gt;300,Q119&gt;=10000,Q119&lt;=20000),"OBEDECE",IF(AND(R119&gt;150,Q119&gt;=5000,Q119&lt;=9999),"OBEDECE",IF(AND(R119&gt;60,Q119&gt;=2000,Q119&lt;=4999),"OBEDECE",IF(AND(R119&gt;30,Q119&gt;=1000,Q119&lt;=1999),"OBEDECE",IF(AND(R119&lt;=29,Q119&lt;=1000),"OBEDECE","NÃO OBEDECE"))))))</f>
        <v>NÃO OBEDECE</v>
      </c>
      <c r="P119" s="3" t="s">
        <v>62</v>
      </c>
      <c r="Q119" s="4" t="n">
        <v>10460</v>
      </c>
      <c r="R119" s="4" t="n">
        <v>134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</row>
    <row r="120" customFormat="false" ht="15" hidden="false" customHeight="false" outlineLevel="0" collapsed="false">
      <c r="A120" s="11" t="s">
        <v>246</v>
      </c>
      <c r="B120" s="11" t="s">
        <v>40</v>
      </c>
      <c r="C120" s="11" t="s">
        <v>66</v>
      </c>
      <c r="D120" s="11" t="s">
        <v>42</v>
      </c>
      <c r="E120" s="11" t="s">
        <v>118</v>
      </c>
      <c r="F120" s="11" t="s">
        <v>57</v>
      </c>
      <c r="G120" s="12" t="s">
        <v>99</v>
      </c>
      <c r="H120" s="11" t="s">
        <v>171</v>
      </c>
      <c r="I120" s="11" t="s">
        <v>171</v>
      </c>
      <c r="J120" s="11" t="s">
        <v>47</v>
      </c>
      <c r="K120" s="11" t="s">
        <v>59</v>
      </c>
      <c r="L120" s="11" t="s">
        <v>135</v>
      </c>
      <c r="M120" s="11" t="s">
        <v>60</v>
      </c>
      <c r="N120" s="11" t="s">
        <v>71</v>
      </c>
      <c r="O120" s="13" t="str">
        <f aca="false">IF(AND(R120&gt;600,Q120&gt;20000),"OBEDECE",IF(AND(R120&gt;300,Q120&gt;=10000,Q120&lt;=20000),"OBEDECE",IF(AND(R120&gt;150,Q120&gt;=5000,Q120&lt;=9999),"OBEDECE",IF(AND(R120&gt;60,Q120&gt;=2000,Q120&lt;=4999),"OBEDECE",IF(AND(R120&gt;30,Q120&gt;=1000,Q120&lt;=1999),"OBEDECE",IF(AND(R120&lt;=29,Q120&lt;=1000),"OBEDECE","NÃO OBEDECE"))))))</f>
        <v>NÃO OBEDECE</v>
      </c>
      <c r="P120" s="3" t="s">
        <v>68</v>
      </c>
      <c r="Q120" s="4" t="n">
        <v>8936</v>
      </c>
      <c r="R120" s="4" t="n">
        <v>110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1</v>
      </c>
      <c r="Z120" s="14" t="n">
        <v>0</v>
      </c>
      <c r="AA120" s="14" t="n">
        <v>0</v>
      </c>
      <c r="AB120" s="14" t="n">
        <v>0</v>
      </c>
      <c r="AC120" s="14" t="n">
        <v>0</v>
      </c>
      <c r="AD120" s="14" t="n">
        <v>0</v>
      </c>
      <c r="AE120" s="14" t="n">
        <v>0</v>
      </c>
      <c r="AF120" s="14" t="n">
        <v>0</v>
      </c>
      <c r="AG120" s="14" t="n">
        <v>0</v>
      </c>
      <c r="AH120" s="14" t="n">
        <v>0</v>
      </c>
      <c r="AI120" s="14" t="n">
        <v>0</v>
      </c>
      <c r="AJ120" s="14" t="n">
        <v>0</v>
      </c>
      <c r="AK120" s="14" t="n">
        <v>0</v>
      </c>
      <c r="AL120" s="14" t="n">
        <v>0</v>
      </c>
      <c r="AM120" s="14" t="n">
        <v>0</v>
      </c>
    </row>
    <row r="121" customFormat="false" ht="15" hidden="false" customHeight="false" outlineLevel="0" collapsed="false">
      <c r="A121" s="11" t="s">
        <v>247</v>
      </c>
      <c r="B121" s="11" t="s">
        <v>54</v>
      </c>
      <c r="C121" s="11" t="s">
        <v>41</v>
      </c>
      <c r="D121" s="11" t="s">
        <v>55</v>
      </c>
      <c r="E121" s="11" t="s">
        <v>118</v>
      </c>
      <c r="F121" s="11" t="s">
        <v>57</v>
      </c>
      <c r="G121" s="12" t="s">
        <v>248</v>
      </c>
      <c r="H121" s="11" t="s">
        <v>171</v>
      </c>
      <c r="I121" s="11" t="s">
        <v>171</v>
      </c>
      <c r="J121" s="11" t="s">
        <v>47</v>
      </c>
      <c r="K121" s="11" t="s">
        <v>59</v>
      </c>
      <c r="L121" s="11" t="s">
        <v>135</v>
      </c>
      <c r="M121" s="11" t="s">
        <v>60</v>
      </c>
      <c r="N121" s="11" t="s">
        <v>61</v>
      </c>
      <c r="O121" s="13" t="str">
        <f aca="false">IF(AND(R121&gt;600,Q121&gt;20000),"OBEDECE",IF(AND(R121&gt;300,Q121&gt;=10000,Q121&lt;=20000),"OBEDECE",IF(AND(R121&gt;150,Q121&gt;=5000,Q121&lt;=9999),"OBEDECE",IF(AND(R121&gt;60,Q121&gt;=2000,Q121&lt;=4999),"OBEDECE",IF(AND(R121&gt;30,Q121&gt;=1000,Q121&lt;=1999),"OBEDECE",IF(AND(R121&lt;=29,Q121&lt;=1000),"OBEDECE","NÃO OBEDECE"))))))</f>
        <v>NÃO OBEDECE</v>
      </c>
      <c r="P121" s="3" t="s">
        <v>62</v>
      </c>
      <c r="Q121" s="4" t="n">
        <v>16197</v>
      </c>
      <c r="R121" s="4" t="n">
        <v>164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</row>
    <row r="122" customFormat="false" ht="15" hidden="false" customHeight="false" outlineLevel="0" collapsed="false">
      <c r="A122" s="11" t="s">
        <v>249</v>
      </c>
      <c r="B122" s="11" t="s">
        <v>54</v>
      </c>
      <c r="C122" s="11" t="s">
        <v>41</v>
      </c>
      <c r="D122" s="11" t="s">
        <v>55</v>
      </c>
      <c r="E122" s="11" t="s">
        <v>118</v>
      </c>
      <c r="F122" s="11" t="s">
        <v>57</v>
      </c>
      <c r="G122" s="12" t="s">
        <v>108</v>
      </c>
      <c r="H122" s="11" t="s">
        <v>171</v>
      </c>
      <c r="I122" s="11" t="s">
        <v>171</v>
      </c>
      <c r="J122" s="11" t="s">
        <v>47</v>
      </c>
      <c r="K122" s="11" t="s">
        <v>59</v>
      </c>
      <c r="L122" s="11" t="s">
        <v>135</v>
      </c>
      <c r="M122" s="11" t="s">
        <v>50</v>
      </c>
      <c r="N122" s="11" t="s">
        <v>51</v>
      </c>
      <c r="O122" s="13" t="str">
        <f aca="false">IF(AND(R122&gt;600,Q122&gt;20000),"OBEDECE",IF(AND(R122&gt;300,Q122&gt;=10000,Q122&lt;=20000),"OBEDECE",IF(AND(R122&gt;150,Q122&gt;=5000,Q122&lt;=9999),"OBEDECE",IF(AND(R122&gt;60,Q122&gt;=2000,Q122&lt;=4999),"OBEDECE",IF(AND(R122&gt;30,Q122&gt;=1000,Q122&lt;=1999),"OBEDECE",IF(AND(R122&lt;=29,Q122&lt;=1000),"OBEDECE","NÃO OBEDECE"))))))</f>
        <v>NÃO OBEDECE</v>
      </c>
      <c r="P122" s="3" t="s">
        <v>62</v>
      </c>
      <c r="Q122" s="4" t="n">
        <v>23187</v>
      </c>
      <c r="R122" s="4" t="n">
        <v>164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</v>
      </c>
      <c r="AE122" s="14" t="n">
        <v>0</v>
      </c>
      <c r="AF122" s="14" t="n">
        <v>0</v>
      </c>
      <c r="AG122" s="14" t="n">
        <v>0</v>
      </c>
      <c r="AH122" s="14" t="n">
        <v>0</v>
      </c>
      <c r="AI122" s="14" t="n">
        <v>0</v>
      </c>
      <c r="AJ122" s="14" t="n">
        <v>0</v>
      </c>
      <c r="AK122" s="14" t="n">
        <v>0</v>
      </c>
      <c r="AL122" s="14" t="n">
        <v>0</v>
      </c>
      <c r="AM122" s="14" t="n">
        <v>0</v>
      </c>
    </row>
    <row r="123" customFormat="false" ht="15" hidden="false" customHeight="false" outlineLevel="0" collapsed="false">
      <c r="A123" s="11" t="s">
        <v>250</v>
      </c>
      <c r="B123" s="11" t="s">
        <v>54</v>
      </c>
      <c r="C123" s="11" t="s">
        <v>66</v>
      </c>
      <c r="D123" s="11" t="s">
        <v>55</v>
      </c>
      <c r="E123" s="11" t="s">
        <v>118</v>
      </c>
      <c r="F123" s="11" t="s">
        <v>57</v>
      </c>
      <c r="G123" s="12" t="s">
        <v>76</v>
      </c>
      <c r="H123" s="11" t="s">
        <v>171</v>
      </c>
      <c r="I123" s="11" t="s">
        <v>171</v>
      </c>
      <c r="J123" s="11" t="s">
        <v>47</v>
      </c>
      <c r="K123" s="11" t="s">
        <v>59</v>
      </c>
      <c r="L123" s="11" t="s">
        <v>49</v>
      </c>
      <c r="M123" s="11" t="s">
        <v>50</v>
      </c>
      <c r="N123" s="11" t="s">
        <v>61</v>
      </c>
      <c r="O123" s="13" t="str">
        <f aca="false">IF(AND(R123&gt;600,Q123&gt;20000),"OBEDECE",IF(AND(R123&gt;300,Q123&gt;=10000,Q123&lt;=20000),"OBEDECE",IF(AND(R123&gt;150,Q123&gt;=5000,Q123&lt;=9999),"OBEDECE",IF(AND(R123&gt;60,Q123&gt;=2000,Q123&lt;=4999),"OBEDECE",IF(AND(R123&gt;30,Q123&gt;=1000,Q123&lt;=1999),"OBEDECE",IF(AND(R123&lt;=29,Q123&lt;=1000),"OBEDECE","NÃO OBEDECE"))))))</f>
        <v>NÃO OBEDECE</v>
      </c>
      <c r="P123" s="3" t="s">
        <v>62</v>
      </c>
      <c r="Q123" s="4" t="n">
        <v>18000</v>
      </c>
      <c r="R123" s="4" t="n">
        <v>164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0</v>
      </c>
      <c r="AG123" s="14" t="n">
        <v>0</v>
      </c>
      <c r="AH123" s="14" t="n">
        <v>0</v>
      </c>
      <c r="AI123" s="14" t="n">
        <v>0</v>
      </c>
      <c r="AJ123" s="14" t="n">
        <v>0</v>
      </c>
      <c r="AK123" s="14" t="n">
        <v>0</v>
      </c>
      <c r="AL123" s="14" t="n">
        <v>0</v>
      </c>
      <c r="AM123" s="14" t="n">
        <v>0</v>
      </c>
    </row>
    <row r="124" customFormat="false" ht="15" hidden="false" customHeight="false" outlineLevel="0" collapsed="false">
      <c r="A124" s="11" t="s">
        <v>251</v>
      </c>
      <c r="B124" s="11" t="s">
        <v>54</v>
      </c>
      <c r="C124" s="11" t="s">
        <v>66</v>
      </c>
      <c r="D124" s="11" t="s">
        <v>42</v>
      </c>
      <c r="E124" s="11" t="s">
        <v>118</v>
      </c>
      <c r="F124" s="11" t="s">
        <v>57</v>
      </c>
      <c r="G124" s="15" t="s">
        <v>187</v>
      </c>
      <c r="H124" s="11" t="s">
        <v>171</v>
      </c>
      <c r="I124" s="11" t="s">
        <v>171</v>
      </c>
      <c r="J124" s="11" t="s">
        <v>47</v>
      </c>
      <c r="K124" s="11" t="s">
        <v>59</v>
      </c>
      <c r="L124" s="11" t="s">
        <v>135</v>
      </c>
      <c r="M124" s="11" t="s">
        <v>60</v>
      </c>
      <c r="N124" s="11" t="s">
        <v>61</v>
      </c>
      <c r="O124" s="13" t="str">
        <f aca="false">IF(AND(R124&gt;600,Q124&gt;20000),"OBEDECE",IF(AND(R124&gt;300,Q124&gt;=10000,Q124&lt;=20000),"OBEDECE",IF(AND(R124&gt;150,Q124&gt;=5000,Q124&lt;=9999),"OBEDECE",IF(AND(R124&gt;60,Q124&gt;=2000,Q124&lt;=4999),"OBEDECE",IF(AND(R124&gt;30,Q124&gt;=1000,Q124&lt;=1999),"OBEDECE",IF(AND(R124&lt;=29,Q124&lt;=1000),"OBEDECE","NÃO OBEDECE"))))))</f>
        <v>NÃO OBEDECE</v>
      </c>
      <c r="P124" s="3" t="s">
        <v>62</v>
      </c>
      <c r="Q124" s="4" t="n">
        <v>18185</v>
      </c>
      <c r="R124" s="4" t="n">
        <v>164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</v>
      </c>
      <c r="AE124" s="14" t="n">
        <v>0</v>
      </c>
      <c r="AF124" s="14" t="n">
        <v>0</v>
      </c>
      <c r="AG124" s="14" t="n">
        <v>0</v>
      </c>
      <c r="AH124" s="14" t="n">
        <v>0</v>
      </c>
      <c r="AI124" s="14" t="n">
        <v>0</v>
      </c>
      <c r="AJ124" s="14" t="n">
        <v>0</v>
      </c>
      <c r="AK124" s="14" t="n">
        <v>0</v>
      </c>
      <c r="AL124" s="14" t="n">
        <v>0</v>
      </c>
      <c r="AM124" s="14" t="n">
        <v>0</v>
      </c>
    </row>
    <row r="125" customFormat="false" ht="15" hidden="false" customHeight="false" outlineLevel="0" collapsed="false">
      <c r="A125" s="11" t="s">
        <v>252</v>
      </c>
      <c r="B125" s="11" t="s">
        <v>54</v>
      </c>
      <c r="C125" s="11" t="s">
        <v>41</v>
      </c>
      <c r="D125" s="11" t="s">
        <v>55</v>
      </c>
      <c r="E125" s="11" t="s">
        <v>118</v>
      </c>
      <c r="F125" s="11" t="s">
        <v>57</v>
      </c>
      <c r="G125" s="15" t="s">
        <v>221</v>
      </c>
      <c r="H125" s="11" t="s">
        <v>171</v>
      </c>
      <c r="I125" s="11" t="s">
        <v>171</v>
      </c>
      <c r="J125" s="11" t="s">
        <v>47</v>
      </c>
      <c r="K125" s="11" t="s">
        <v>59</v>
      </c>
      <c r="L125" s="11" t="s">
        <v>74</v>
      </c>
      <c r="M125" s="11" t="s">
        <v>50</v>
      </c>
      <c r="N125" s="11" t="s">
        <v>71</v>
      </c>
      <c r="O125" s="13" t="str">
        <f aca="false">IF(AND(R125&gt;600,Q125&gt;20000),"OBEDECE",IF(AND(R125&gt;300,Q125&gt;=10000,Q125&lt;=20000),"OBEDECE",IF(AND(R125&gt;150,Q125&gt;=5000,Q125&lt;=9999),"OBEDECE",IF(AND(R125&gt;60,Q125&gt;=2000,Q125&lt;=4999),"OBEDECE",IF(AND(R125&gt;30,Q125&gt;=1000,Q125&lt;=1999),"OBEDECE",IF(AND(R125&lt;=29,Q125&lt;=1000),"OBEDECE","NÃO OBEDECE"))))))</f>
        <v>OBEDECE</v>
      </c>
      <c r="P125" s="3" t="s">
        <v>62</v>
      </c>
      <c r="Q125" s="4" t="n">
        <v>6383</v>
      </c>
      <c r="R125" s="4" t="n">
        <v>161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</row>
    <row r="126" customFormat="false" ht="15" hidden="true" customHeight="false" outlineLevel="0" collapsed="false">
      <c r="A126" s="11" t="s">
        <v>253</v>
      </c>
      <c r="B126" s="11" t="s">
        <v>40</v>
      </c>
      <c r="C126" s="11" t="s">
        <v>41</v>
      </c>
      <c r="D126" s="11" t="s">
        <v>42</v>
      </c>
      <c r="E126" s="11" t="s">
        <v>118</v>
      </c>
      <c r="F126" s="11" t="s">
        <v>44</v>
      </c>
      <c r="G126" s="12"/>
      <c r="H126" s="11" t="s">
        <v>171</v>
      </c>
      <c r="I126" s="11" t="s">
        <v>171</v>
      </c>
      <c r="J126" s="11" t="s">
        <v>47</v>
      </c>
      <c r="K126" s="11" t="s">
        <v>59</v>
      </c>
      <c r="L126" s="11" t="s">
        <v>135</v>
      </c>
      <c r="M126" s="11" t="s">
        <v>50</v>
      </c>
      <c r="N126" s="11" t="s">
        <v>61</v>
      </c>
      <c r="O126" s="13" t="str">
        <f aca="false">IF(AND(R126&gt;600,Q126&gt;20000),"OBEDECE",IF(AND(R126&gt;300,Q126&gt;=10000,Q126&lt;=20000),"OBEDECE",IF(AND(R126&gt;150,Q126&gt;=5000,Q126&lt;=9999),"OBEDECE",IF(AND(R126&gt;60,Q126&gt;=2000,Q126&lt;=4999),"OBEDECE",IF(AND(R126&gt;30,Q126&gt;=1000,Q126&lt;=1999),"OBEDECE",IF(AND(R126&lt;=29,Q126&lt;=1000),"OBEDECE","NÃO OBEDECE"))))))</f>
        <v>NÃO OBEDECE</v>
      </c>
      <c r="P126" s="3" t="s">
        <v>62</v>
      </c>
      <c r="Q126" s="4" t="n">
        <v>15634</v>
      </c>
      <c r="R126" s="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</v>
      </c>
      <c r="AE126" s="14" t="n">
        <v>0</v>
      </c>
      <c r="AF126" s="14" t="n">
        <v>0</v>
      </c>
      <c r="AG126" s="14" t="n">
        <v>0</v>
      </c>
      <c r="AH126" s="14" t="n">
        <v>0</v>
      </c>
      <c r="AI126" s="14" t="n">
        <v>0</v>
      </c>
      <c r="AJ126" s="14" t="n">
        <v>0</v>
      </c>
      <c r="AK126" s="14" t="n">
        <v>0</v>
      </c>
      <c r="AL126" s="14" t="n">
        <v>0</v>
      </c>
      <c r="AM126" s="14" t="n">
        <v>0</v>
      </c>
    </row>
    <row r="127" customFormat="false" ht="15" hidden="false" customHeight="false" outlineLevel="0" collapsed="false">
      <c r="A127" s="11" t="s">
        <v>254</v>
      </c>
      <c r="B127" s="11" t="s">
        <v>54</v>
      </c>
      <c r="C127" s="11" t="s">
        <v>41</v>
      </c>
      <c r="D127" s="11" t="s">
        <v>55</v>
      </c>
      <c r="E127" s="11" t="s">
        <v>118</v>
      </c>
      <c r="F127" s="11" t="s">
        <v>57</v>
      </c>
      <c r="G127" s="12" t="s">
        <v>255</v>
      </c>
      <c r="H127" s="11" t="s">
        <v>171</v>
      </c>
      <c r="I127" s="11" t="s">
        <v>171</v>
      </c>
      <c r="J127" s="11" t="s">
        <v>47</v>
      </c>
      <c r="K127" s="11" t="s">
        <v>59</v>
      </c>
      <c r="L127" s="11" t="s">
        <v>74</v>
      </c>
      <c r="M127" s="11" t="s">
        <v>60</v>
      </c>
      <c r="N127" s="11" t="s">
        <v>71</v>
      </c>
      <c r="O127" s="13" t="str">
        <f aca="false">IF(AND(R127&gt;600,Q127&gt;20000),"OBEDECE",IF(AND(R127&gt;300,Q127&gt;=10000,Q127&lt;=20000),"OBEDECE",IF(AND(R127&gt;150,Q127&gt;=5000,Q127&lt;=9999),"OBEDECE",IF(AND(R127&gt;60,Q127&gt;=2000,Q127&lt;=4999),"OBEDECE",IF(AND(R127&gt;30,Q127&gt;=1000,Q127&lt;=1999),"OBEDECE",IF(AND(R127&lt;=29,Q127&lt;=1000),"OBEDECE","NÃO OBEDECE"))))))</f>
        <v>OBEDECE</v>
      </c>
      <c r="P127" s="3" t="s">
        <v>62</v>
      </c>
      <c r="Q127" s="4" t="n">
        <v>6548</v>
      </c>
      <c r="R127" s="4" t="n">
        <v>164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</row>
    <row r="128" customFormat="false" ht="15" hidden="false" customHeight="false" outlineLevel="0" collapsed="false">
      <c r="A128" s="11" t="s">
        <v>256</v>
      </c>
      <c r="B128" s="11" t="s">
        <v>54</v>
      </c>
      <c r="C128" s="11" t="s">
        <v>41</v>
      </c>
      <c r="D128" s="11" t="s">
        <v>55</v>
      </c>
      <c r="E128" s="11" t="s">
        <v>118</v>
      </c>
      <c r="F128" s="11" t="s">
        <v>57</v>
      </c>
      <c r="G128" s="12" t="s">
        <v>257</v>
      </c>
      <c r="H128" s="11" t="s">
        <v>171</v>
      </c>
      <c r="I128" s="11" t="s">
        <v>171</v>
      </c>
      <c r="J128" s="11" t="s">
        <v>47</v>
      </c>
      <c r="K128" s="11" t="s">
        <v>59</v>
      </c>
      <c r="L128" s="11" t="s">
        <v>135</v>
      </c>
      <c r="M128" s="11" t="s">
        <v>60</v>
      </c>
      <c r="N128" s="11" t="s">
        <v>71</v>
      </c>
      <c r="O128" s="13" t="str">
        <f aca="false">IF(AND(R128&gt;600,Q128&gt;20000),"OBEDECE",IF(AND(R128&gt;300,Q128&gt;=10000,Q128&lt;=20000),"OBEDECE",IF(AND(R128&gt;150,Q128&gt;=5000,Q128&lt;=9999),"OBEDECE",IF(AND(R128&gt;60,Q128&gt;=2000,Q128&lt;=4999),"OBEDECE",IF(AND(R128&gt;30,Q128&gt;=1000,Q128&lt;=1999),"OBEDECE",IF(AND(R128&lt;=29,Q128&lt;=1000),"OBEDECE","NÃO OBEDECE"))))))</f>
        <v>OBEDECE</v>
      </c>
      <c r="P128" s="3" t="s">
        <v>62</v>
      </c>
      <c r="Q128" s="4" t="n">
        <v>8367</v>
      </c>
      <c r="R128" s="4" t="n">
        <v>164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14" t="n">
        <v>0</v>
      </c>
      <c r="AB128" s="14" t="n">
        <v>0</v>
      </c>
      <c r="AC128" s="14" t="n">
        <v>0</v>
      </c>
      <c r="AD128" s="14" t="n">
        <v>0</v>
      </c>
      <c r="AE128" s="14" t="n">
        <v>0</v>
      </c>
      <c r="AF128" s="14" t="n">
        <v>0</v>
      </c>
      <c r="AG128" s="14" t="n">
        <v>0</v>
      </c>
      <c r="AH128" s="14" t="n">
        <v>0</v>
      </c>
      <c r="AI128" s="14" t="n">
        <v>0</v>
      </c>
      <c r="AJ128" s="14" t="n">
        <v>0</v>
      </c>
      <c r="AK128" s="14" t="n">
        <v>0</v>
      </c>
      <c r="AL128" s="14" t="n">
        <v>0</v>
      </c>
      <c r="AM128" s="14" t="n">
        <v>0</v>
      </c>
    </row>
    <row r="129" customFormat="false" ht="15" hidden="false" customHeight="false" outlineLevel="0" collapsed="false">
      <c r="A129" s="11" t="s">
        <v>258</v>
      </c>
      <c r="B129" s="11" t="s">
        <v>40</v>
      </c>
      <c r="C129" s="11" t="s">
        <v>66</v>
      </c>
      <c r="D129" s="11" t="s">
        <v>42</v>
      </c>
      <c r="E129" s="11" t="s">
        <v>118</v>
      </c>
      <c r="F129" s="11" t="s">
        <v>57</v>
      </c>
      <c r="G129" s="12" t="s">
        <v>259</v>
      </c>
      <c r="H129" s="11" t="s">
        <v>171</v>
      </c>
      <c r="I129" s="11" t="s">
        <v>171</v>
      </c>
      <c r="J129" s="11" t="s">
        <v>47</v>
      </c>
      <c r="K129" s="11" t="s">
        <v>59</v>
      </c>
      <c r="L129" s="11" t="s">
        <v>135</v>
      </c>
      <c r="M129" s="11" t="s">
        <v>60</v>
      </c>
      <c r="N129" s="11" t="s">
        <v>61</v>
      </c>
      <c r="O129" s="13" t="str">
        <f aca="false">IF(AND(R129&gt;600,Q129&gt;20000),"OBEDECE",IF(AND(R129&gt;300,Q129&gt;=10000,Q129&lt;=20000),"OBEDECE",IF(AND(R129&gt;150,Q129&gt;=5000,Q129&lt;=9999),"OBEDECE",IF(AND(R129&gt;60,Q129&gt;=2000,Q129&lt;=4999),"OBEDECE",IF(AND(R129&gt;30,Q129&gt;=1000,Q129&lt;=1999),"OBEDECE",IF(AND(R129&lt;=29,Q129&lt;=1000),"OBEDECE","NÃO OBEDECE"))))))</f>
        <v>NÃO OBEDECE</v>
      </c>
      <c r="P129" s="3" t="s">
        <v>62</v>
      </c>
      <c r="Q129" s="4" t="n">
        <v>19091</v>
      </c>
      <c r="R129" s="4" t="n">
        <v>160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</row>
    <row r="130" customFormat="false" ht="15" hidden="false" customHeight="false" outlineLevel="0" collapsed="false">
      <c r="A130" s="10" t="s">
        <v>260</v>
      </c>
      <c r="B130" s="11" t="s">
        <v>40</v>
      </c>
      <c r="C130" s="11" t="s">
        <v>41</v>
      </c>
      <c r="D130" s="11" t="s">
        <v>42</v>
      </c>
      <c r="E130" s="11" t="s">
        <v>118</v>
      </c>
      <c r="F130" s="11" t="s">
        <v>57</v>
      </c>
      <c r="G130" s="12" t="s">
        <v>64</v>
      </c>
      <c r="H130" s="11" t="s">
        <v>171</v>
      </c>
      <c r="I130" s="11" t="s">
        <v>171</v>
      </c>
      <c r="J130" s="11" t="s">
        <v>46</v>
      </c>
      <c r="K130" s="11" t="s">
        <v>59</v>
      </c>
      <c r="L130" s="11" t="s">
        <v>135</v>
      </c>
      <c r="M130" s="11" t="s">
        <v>50</v>
      </c>
      <c r="N130" s="11" t="s">
        <v>51</v>
      </c>
      <c r="O130" s="13" t="str">
        <f aca="false">IF(AND(R130&gt;600,Q130&gt;20000),"OBEDECE",IF(AND(R130&gt;300,Q130&gt;=10000,Q130&lt;=20000),"OBEDECE",IF(AND(R130&gt;150,Q130&gt;=5000,Q130&lt;=9999),"OBEDECE",IF(AND(R130&gt;60,Q130&gt;=2000,Q130&lt;=4999),"OBEDECE",IF(AND(R130&gt;30,Q130&gt;=1000,Q130&lt;=1999),"OBEDECE",IF(AND(R130&lt;=29,Q130&lt;=1000),"OBEDECE","NÃO OBEDECE"))))))</f>
        <v>NÃO OBEDECE</v>
      </c>
      <c r="P130" s="3" t="s">
        <v>52</v>
      </c>
      <c r="Q130" s="4" t="n">
        <v>37169</v>
      </c>
      <c r="R130" s="4" t="n">
        <v>164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14" t="n">
        <v>0</v>
      </c>
      <c r="AB130" s="14" t="n">
        <v>0</v>
      </c>
      <c r="AC130" s="14" t="n">
        <v>0</v>
      </c>
      <c r="AD130" s="14" t="n">
        <v>0</v>
      </c>
      <c r="AE130" s="14" t="n">
        <v>0</v>
      </c>
      <c r="AF130" s="14" t="n">
        <v>0</v>
      </c>
      <c r="AG130" s="14" t="n">
        <v>0</v>
      </c>
      <c r="AH130" s="14" t="n">
        <v>0</v>
      </c>
      <c r="AI130" s="14" t="n">
        <v>0</v>
      </c>
      <c r="AJ130" s="14" t="n">
        <v>1</v>
      </c>
      <c r="AK130" s="14" t="n">
        <v>1</v>
      </c>
      <c r="AL130" s="14" t="n">
        <v>0</v>
      </c>
      <c r="AM130" s="14" t="n">
        <v>0</v>
      </c>
    </row>
    <row r="131" customFormat="false" ht="15" hidden="false" customHeight="false" outlineLevel="0" collapsed="false">
      <c r="A131" s="11" t="s">
        <v>261</v>
      </c>
      <c r="B131" s="11" t="s">
        <v>54</v>
      </c>
      <c r="C131" s="11" t="s">
        <v>66</v>
      </c>
      <c r="D131" s="11" t="s">
        <v>55</v>
      </c>
      <c r="E131" s="11" t="s">
        <v>118</v>
      </c>
      <c r="F131" s="11" t="s">
        <v>57</v>
      </c>
      <c r="G131" s="12" t="s">
        <v>145</v>
      </c>
      <c r="H131" s="11" t="s">
        <v>171</v>
      </c>
      <c r="I131" s="11" t="s">
        <v>171</v>
      </c>
      <c r="J131" s="11" t="s">
        <v>47</v>
      </c>
      <c r="K131" s="11" t="s">
        <v>59</v>
      </c>
      <c r="L131" s="11" t="s">
        <v>135</v>
      </c>
      <c r="M131" s="11" t="s">
        <v>60</v>
      </c>
      <c r="N131" s="11" t="s">
        <v>61</v>
      </c>
      <c r="O131" s="13" t="str">
        <f aca="false">IF(AND(R131&gt;600,Q131&gt;20000),"OBEDECE",IF(AND(R131&gt;300,Q131&gt;=10000,Q131&lt;=20000),"OBEDECE",IF(AND(R131&gt;150,Q131&gt;=5000,Q131&lt;=9999),"OBEDECE",IF(AND(R131&gt;60,Q131&gt;=2000,Q131&lt;=4999),"OBEDECE",IF(AND(R131&gt;30,Q131&gt;=1000,Q131&lt;=1999),"OBEDECE",IF(AND(R131&lt;=29,Q131&lt;=1000),"OBEDECE","NÃO OBEDECE"))))))</f>
        <v>NÃO OBEDECE</v>
      </c>
      <c r="P131" s="3" t="s">
        <v>68</v>
      </c>
      <c r="Q131" s="4" t="n">
        <v>14750</v>
      </c>
      <c r="R131" s="4" t="n">
        <v>164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1</v>
      </c>
      <c r="Y131" s="14" t="n">
        <v>1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</row>
    <row r="132" customFormat="false" ht="15" hidden="false" customHeight="false" outlineLevel="0" collapsed="false">
      <c r="A132" s="11" t="s">
        <v>262</v>
      </c>
      <c r="B132" s="11" t="s">
        <v>40</v>
      </c>
      <c r="C132" s="11" t="s">
        <v>41</v>
      </c>
      <c r="D132" s="11" t="s">
        <v>42</v>
      </c>
      <c r="E132" s="11" t="s">
        <v>118</v>
      </c>
      <c r="F132" s="11" t="s">
        <v>57</v>
      </c>
      <c r="G132" s="12" t="s">
        <v>161</v>
      </c>
      <c r="H132" s="11" t="s">
        <v>171</v>
      </c>
      <c r="I132" s="11" t="s">
        <v>171</v>
      </c>
      <c r="J132" s="11" t="s">
        <v>47</v>
      </c>
      <c r="K132" s="11" t="s">
        <v>59</v>
      </c>
      <c r="L132" s="11" t="s">
        <v>135</v>
      </c>
      <c r="M132" s="11" t="s">
        <v>60</v>
      </c>
      <c r="N132" s="11" t="s">
        <v>51</v>
      </c>
      <c r="O132" s="13" t="str">
        <f aca="false">IF(AND(R132&gt;600,Q132&gt;20000),"OBEDECE",IF(AND(R132&gt;300,Q132&gt;=10000,Q132&lt;=20000),"OBEDECE",IF(AND(R132&gt;150,Q132&gt;=5000,Q132&lt;=9999),"OBEDECE",IF(AND(R132&gt;60,Q132&gt;=2000,Q132&lt;=4999),"OBEDECE",IF(AND(R132&gt;30,Q132&gt;=1000,Q132&lt;=1999),"OBEDECE",IF(AND(R132&lt;=29,Q132&lt;=1000),"OBEDECE","NÃO OBEDECE"))))))</f>
        <v>NÃO OBEDECE</v>
      </c>
      <c r="P132" s="3" t="s">
        <v>52</v>
      </c>
      <c r="Q132" s="4" t="n">
        <v>29965</v>
      </c>
      <c r="R132" s="4" t="n">
        <v>164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2</v>
      </c>
      <c r="Y132" s="14" t="n">
        <v>0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4" t="n">
        <v>0</v>
      </c>
      <c r="AF132" s="14" t="n">
        <v>0</v>
      </c>
      <c r="AG132" s="14" t="n">
        <v>0</v>
      </c>
      <c r="AH132" s="14" t="n">
        <v>0</v>
      </c>
      <c r="AI132" s="14" t="n">
        <v>0</v>
      </c>
      <c r="AJ132" s="14" t="n">
        <v>0</v>
      </c>
      <c r="AK132" s="14" t="n">
        <v>1</v>
      </c>
      <c r="AL132" s="14" t="n">
        <v>0</v>
      </c>
      <c r="AM132" s="14" t="n">
        <v>0</v>
      </c>
    </row>
    <row r="133" customFormat="false" ht="15" hidden="false" customHeight="false" outlineLevel="0" collapsed="false">
      <c r="A133" s="11" t="s">
        <v>263</v>
      </c>
      <c r="B133" s="11" t="s">
        <v>40</v>
      </c>
      <c r="C133" s="11" t="s">
        <v>41</v>
      </c>
      <c r="D133" s="11" t="s">
        <v>55</v>
      </c>
      <c r="E133" s="11" t="s">
        <v>118</v>
      </c>
      <c r="F133" s="11" t="s">
        <v>57</v>
      </c>
      <c r="G133" s="12" t="s">
        <v>114</v>
      </c>
      <c r="H133" s="11" t="s">
        <v>171</v>
      </c>
      <c r="I133" s="11" t="s">
        <v>171</v>
      </c>
      <c r="J133" s="11" t="s">
        <v>47</v>
      </c>
      <c r="K133" s="11" t="s">
        <v>59</v>
      </c>
      <c r="L133" s="11" t="s">
        <v>74</v>
      </c>
      <c r="M133" s="11" t="s">
        <v>50</v>
      </c>
      <c r="N133" s="11" t="s">
        <v>71</v>
      </c>
      <c r="O133" s="13" t="str">
        <f aca="false">IF(AND(R133&gt;600,Q133&gt;20000),"OBEDECE",IF(AND(R133&gt;300,Q133&gt;=10000,Q133&lt;=20000),"OBEDECE",IF(AND(R133&gt;150,Q133&gt;=5000,Q133&lt;=9999),"OBEDECE",IF(AND(R133&gt;60,Q133&gt;=2000,Q133&lt;=4999),"OBEDECE",IF(AND(R133&gt;30,Q133&gt;=1000,Q133&lt;=1999),"OBEDECE",IF(AND(R133&lt;=29,Q133&lt;=1000),"OBEDECE","NÃO OBEDECE"))))))</f>
        <v>OBEDECE</v>
      </c>
      <c r="P133" s="3" t="s">
        <v>68</v>
      </c>
      <c r="Q133" s="4" t="n">
        <v>9233</v>
      </c>
      <c r="R133" s="4" t="n">
        <v>164</v>
      </c>
      <c r="S133" s="14" t="n">
        <v>0</v>
      </c>
      <c r="T133" s="14" t="n">
        <v>0</v>
      </c>
      <c r="U133" s="14" t="n">
        <v>0</v>
      </c>
      <c r="V133" s="14" t="n">
        <v>1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</row>
    <row r="134" customFormat="false" ht="15" hidden="false" customHeight="false" outlineLevel="0" collapsed="false">
      <c r="A134" s="11" t="s">
        <v>264</v>
      </c>
      <c r="B134" s="11" t="s">
        <v>40</v>
      </c>
      <c r="C134" s="11" t="s">
        <v>66</v>
      </c>
      <c r="D134" s="11" t="s">
        <v>42</v>
      </c>
      <c r="E134" s="11" t="s">
        <v>118</v>
      </c>
      <c r="F134" s="11" t="s">
        <v>57</v>
      </c>
      <c r="G134" s="15" t="s">
        <v>95</v>
      </c>
      <c r="H134" s="11" t="s">
        <v>171</v>
      </c>
      <c r="I134" s="11" t="s">
        <v>171</v>
      </c>
      <c r="J134" s="11" t="s">
        <v>47</v>
      </c>
      <c r="K134" s="11" t="s">
        <v>59</v>
      </c>
      <c r="L134" s="11" t="s">
        <v>74</v>
      </c>
      <c r="M134" s="11" t="s">
        <v>60</v>
      </c>
      <c r="N134" s="11" t="s">
        <v>130</v>
      </c>
      <c r="O134" s="13" t="str">
        <f aca="false">IF(AND(R134&gt;600,Q134&gt;20000),"OBEDECE",IF(AND(R134&gt;300,Q134&gt;=10000,Q134&lt;=20000),"OBEDECE",IF(AND(R134&gt;150,Q134&gt;=5000,Q134&lt;=9999),"OBEDECE",IF(AND(R134&gt;60,Q134&gt;=2000,Q134&lt;=4999),"OBEDECE",IF(AND(R134&gt;30,Q134&gt;=1000,Q134&lt;=1999),"OBEDECE",IF(AND(R134&lt;=29,Q134&lt;=1000),"OBEDECE","NÃO OBEDECE"))))))</f>
        <v>OBEDECE</v>
      </c>
      <c r="P134" s="3" t="s">
        <v>62</v>
      </c>
      <c r="Q134" s="4" t="n">
        <v>1740</v>
      </c>
      <c r="R134" s="4" t="n">
        <v>164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</v>
      </c>
      <c r="AE134" s="14" t="n">
        <v>0</v>
      </c>
      <c r="AF134" s="14" t="n">
        <v>0</v>
      </c>
      <c r="AG134" s="14" t="n">
        <v>0</v>
      </c>
      <c r="AH134" s="14" t="n">
        <v>0</v>
      </c>
      <c r="AI134" s="14" t="n">
        <v>0</v>
      </c>
      <c r="AJ134" s="14" t="n">
        <v>0</v>
      </c>
      <c r="AK134" s="14" t="n">
        <v>0</v>
      </c>
      <c r="AL134" s="14" t="n">
        <v>0</v>
      </c>
      <c r="AM134" s="14" t="n">
        <v>0</v>
      </c>
    </row>
    <row r="135" customFormat="false" ht="15" hidden="false" customHeight="false" outlineLevel="0" collapsed="false">
      <c r="A135" s="11" t="s">
        <v>265</v>
      </c>
      <c r="B135" s="11" t="s">
        <v>54</v>
      </c>
      <c r="C135" s="11" t="s">
        <v>41</v>
      </c>
      <c r="D135" s="11" t="s">
        <v>55</v>
      </c>
      <c r="E135" s="11" t="s">
        <v>118</v>
      </c>
      <c r="F135" s="11" t="s">
        <v>57</v>
      </c>
      <c r="G135" s="12" t="s">
        <v>266</v>
      </c>
      <c r="H135" s="11" t="s">
        <v>171</v>
      </c>
      <c r="I135" s="11" t="s">
        <v>171</v>
      </c>
      <c r="J135" s="11" t="s">
        <v>47</v>
      </c>
      <c r="K135" s="11" t="s">
        <v>48</v>
      </c>
      <c r="L135" s="11" t="s">
        <v>49</v>
      </c>
      <c r="M135" s="11" t="s">
        <v>60</v>
      </c>
      <c r="N135" s="11" t="s">
        <v>71</v>
      </c>
      <c r="O135" s="13" t="str">
        <f aca="false">IF(AND(R135&gt;600,Q135&gt;20000),"OBEDECE",IF(AND(R135&gt;300,Q135&gt;=10000,Q135&lt;=20000),"OBEDECE",IF(AND(R135&gt;150,Q135&gt;=5000,Q135&lt;=9999),"OBEDECE",IF(AND(R135&gt;60,Q135&gt;=2000,Q135&lt;=4999),"OBEDECE",IF(AND(R135&gt;30,Q135&gt;=1000,Q135&lt;=1999),"OBEDECE",IF(AND(R135&lt;=29,Q135&lt;=1000),"OBEDECE","NÃO OBEDECE"))))))</f>
        <v>OBEDECE</v>
      </c>
      <c r="P135" s="3" t="s">
        <v>62</v>
      </c>
      <c r="Q135" s="4" t="n">
        <v>6743</v>
      </c>
      <c r="R135" s="4" t="n">
        <v>260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</row>
    <row r="136" customFormat="false" ht="15" hidden="false" customHeight="false" outlineLevel="0" collapsed="false">
      <c r="A136" s="11" t="s">
        <v>267</v>
      </c>
      <c r="B136" s="11" t="s">
        <v>54</v>
      </c>
      <c r="C136" s="11" t="s">
        <v>66</v>
      </c>
      <c r="D136" s="11" t="s">
        <v>55</v>
      </c>
      <c r="E136" s="11" t="s">
        <v>118</v>
      </c>
      <c r="F136" s="11" t="s">
        <v>57</v>
      </c>
      <c r="G136" s="12" t="s">
        <v>116</v>
      </c>
      <c r="H136" s="11" t="s">
        <v>171</v>
      </c>
      <c r="I136" s="11" t="s">
        <v>171</v>
      </c>
      <c r="J136" s="11" t="s">
        <v>47</v>
      </c>
      <c r="K136" s="11" t="s">
        <v>48</v>
      </c>
      <c r="L136" s="11" t="s">
        <v>49</v>
      </c>
      <c r="M136" s="11" t="s">
        <v>60</v>
      </c>
      <c r="N136" s="11" t="s">
        <v>71</v>
      </c>
      <c r="O136" s="13" t="str">
        <f aca="false">IF(AND(R136&gt;600,Q136&gt;20000),"OBEDECE",IF(AND(R136&gt;300,Q136&gt;=10000,Q136&lt;=20000),"OBEDECE",IF(AND(R136&gt;150,Q136&gt;=5000,Q136&lt;=9999),"OBEDECE",IF(AND(R136&gt;60,Q136&gt;=2000,Q136&lt;=4999),"OBEDECE",IF(AND(R136&gt;30,Q136&gt;=1000,Q136&lt;=1999),"OBEDECE",IF(AND(R136&lt;=29,Q136&lt;=1000),"OBEDECE","NÃO OBEDECE"))))))</f>
        <v>OBEDECE</v>
      </c>
      <c r="P136" s="3" t="s">
        <v>62</v>
      </c>
      <c r="Q136" s="4" t="n">
        <v>5583</v>
      </c>
      <c r="R136" s="4" t="n">
        <v>258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14" t="n">
        <v>0</v>
      </c>
      <c r="AB136" s="14" t="n">
        <v>0</v>
      </c>
      <c r="AC136" s="14" t="n">
        <v>0</v>
      </c>
      <c r="AD136" s="14" t="n">
        <v>0</v>
      </c>
      <c r="AE136" s="14" t="n">
        <v>0</v>
      </c>
      <c r="AF136" s="14" t="n">
        <v>0</v>
      </c>
      <c r="AG136" s="14" t="n">
        <v>0</v>
      </c>
      <c r="AH136" s="14" t="n">
        <v>0</v>
      </c>
      <c r="AI136" s="14" t="n">
        <v>0</v>
      </c>
      <c r="AJ136" s="14" t="n">
        <v>0</v>
      </c>
      <c r="AK136" s="14" t="n">
        <v>0</v>
      </c>
      <c r="AL136" s="14" t="n">
        <v>0</v>
      </c>
      <c r="AM136" s="14" t="n">
        <v>0</v>
      </c>
    </row>
    <row r="137" customFormat="false" ht="15" hidden="false" customHeight="false" outlineLevel="0" collapsed="false">
      <c r="A137" s="11" t="s">
        <v>268</v>
      </c>
      <c r="B137" s="11" t="s">
        <v>54</v>
      </c>
      <c r="C137" s="11" t="s">
        <v>66</v>
      </c>
      <c r="D137" s="11" t="s">
        <v>55</v>
      </c>
      <c r="E137" s="11" t="s">
        <v>118</v>
      </c>
      <c r="F137" s="11" t="s">
        <v>57</v>
      </c>
      <c r="G137" s="12" t="s">
        <v>269</v>
      </c>
      <c r="H137" s="11" t="s">
        <v>171</v>
      </c>
      <c r="I137" s="11" t="s">
        <v>171</v>
      </c>
      <c r="J137" s="11" t="s">
        <v>47</v>
      </c>
      <c r="K137" s="11" t="s">
        <v>48</v>
      </c>
      <c r="L137" s="11" t="s">
        <v>49</v>
      </c>
      <c r="M137" s="11" t="s">
        <v>60</v>
      </c>
      <c r="N137" s="11" t="s">
        <v>71</v>
      </c>
      <c r="O137" s="13" t="str">
        <f aca="false">IF(AND(R137&gt;600,Q137&gt;20000),"OBEDECE",IF(AND(R137&gt;300,Q137&gt;=10000,Q137&lt;=20000),"OBEDECE",IF(AND(R137&gt;150,Q137&gt;=5000,Q137&lt;=9999),"OBEDECE",IF(AND(R137&gt;60,Q137&gt;=2000,Q137&lt;=4999),"OBEDECE",IF(AND(R137&gt;30,Q137&gt;=1000,Q137&lt;=1999),"OBEDECE",IF(AND(R137&lt;=29,Q137&lt;=1000),"OBEDECE","NÃO OBEDECE"))))))</f>
        <v>OBEDECE</v>
      </c>
      <c r="P137" s="3" t="s">
        <v>62</v>
      </c>
      <c r="Q137" s="4" t="n">
        <v>5499</v>
      </c>
      <c r="R137" s="4" t="n">
        <v>258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</row>
    <row r="138" customFormat="false" ht="15" hidden="true" customHeight="false" outlineLevel="0" collapsed="false">
      <c r="A138" s="11" t="s">
        <v>270</v>
      </c>
      <c r="B138" s="11" t="s">
        <v>40</v>
      </c>
      <c r="C138" s="11" t="s">
        <v>66</v>
      </c>
      <c r="D138" s="11" t="s">
        <v>42</v>
      </c>
      <c r="E138" s="11" t="s">
        <v>56</v>
      </c>
      <c r="F138" s="11" t="s">
        <v>44</v>
      </c>
      <c r="G138" s="12"/>
      <c r="H138" s="11" t="s">
        <v>171</v>
      </c>
      <c r="I138" s="11" t="s">
        <v>47</v>
      </c>
      <c r="J138" s="11" t="s">
        <v>47</v>
      </c>
      <c r="K138" s="11" t="s">
        <v>48</v>
      </c>
      <c r="L138" s="11" t="s">
        <v>49</v>
      </c>
      <c r="M138" s="11" t="s">
        <v>50</v>
      </c>
      <c r="N138" s="11" t="s">
        <v>123</v>
      </c>
      <c r="O138" s="13" t="str">
        <f aca="false">IF(AND(R138&gt;600,Q138&gt;20000),"OBEDECE",IF(AND(R138&gt;300,Q138&gt;=10000,Q138&lt;=20000),"OBEDECE",IF(AND(R138&gt;150,Q138&gt;=5000,Q138&lt;=9999),"OBEDECE",IF(AND(R138&gt;60,Q138&gt;=2000,Q138&lt;=4999),"OBEDECE",IF(AND(R138&gt;30,Q138&gt;=1000,Q138&lt;=1999),"OBEDECE",IF(AND(R138&lt;=29,Q138&lt;=1000),"OBEDECE","NÃO OBEDECE"))))))</f>
        <v>NÃO OBEDECE</v>
      </c>
      <c r="P138" s="3" t="s">
        <v>62</v>
      </c>
      <c r="Q138" s="4" t="n">
        <v>2067</v>
      </c>
      <c r="R138" s="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  <c r="AM138" s="14" t="n">
        <v>0</v>
      </c>
    </row>
    <row r="139" customFormat="false" ht="15" hidden="false" customHeight="false" outlineLevel="0" collapsed="false">
      <c r="A139" s="11" t="s">
        <v>271</v>
      </c>
      <c r="B139" s="11" t="s">
        <v>40</v>
      </c>
      <c r="C139" s="11" t="s">
        <v>41</v>
      </c>
      <c r="D139" s="11" t="s">
        <v>55</v>
      </c>
      <c r="E139" s="11" t="s">
        <v>118</v>
      </c>
      <c r="F139" s="11" t="s">
        <v>57</v>
      </c>
      <c r="G139" s="12" t="s">
        <v>166</v>
      </c>
      <c r="H139" s="11" t="s">
        <v>171</v>
      </c>
      <c r="I139" s="11" t="s">
        <v>171</v>
      </c>
      <c r="J139" s="11" t="s">
        <v>47</v>
      </c>
      <c r="K139" s="11" t="s">
        <v>48</v>
      </c>
      <c r="L139" s="11" t="s">
        <v>49</v>
      </c>
      <c r="M139" s="11" t="s">
        <v>60</v>
      </c>
      <c r="N139" s="11" t="s">
        <v>71</v>
      </c>
      <c r="O139" s="13" t="str">
        <f aca="false">IF(AND(R139&gt;600,Q139&gt;20000),"OBEDECE",IF(AND(R139&gt;300,Q139&gt;=10000,Q139&lt;=20000),"OBEDECE",IF(AND(R139&gt;150,Q139&gt;=5000,Q139&lt;=9999),"OBEDECE",IF(AND(R139&gt;60,Q139&gt;=2000,Q139&lt;=4999),"OBEDECE",IF(AND(R139&gt;30,Q139&gt;=1000,Q139&lt;=1999),"OBEDECE",IF(AND(R139&lt;=29,Q139&lt;=1000),"OBEDECE","NÃO OBEDECE"))))))</f>
        <v>OBEDECE</v>
      </c>
      <c r="P139" s="3" t="s">
        <v>62</v>
      </c>
      <c r="Q139" s="4" t="n">
        <v>5798</v>
      </c>
      <c r="R139" s="4" t="n">
        <v>258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</row>
    <row r="140" customFormat="false" ht="15" hidden="false" customHeight="false" outlineLevel="0" collapsed="false">
      <c r="A140" s="10" t="s">
        <v>272</v>
      </c>
      <c r="B140" s="11" t="s">
        <v>40</v>
      </c>
      <c r="C140" s="11" t="s">
        <v>41</v>
      </c>
      <c r="D140" s="11" t="s">
        <v>42</v>
      </c>
      <c r="E140" s="11" t="s">
        <v>118</v>
      </c>
      <c r="F140" s="11" t="s">
        <v>57</v>
      </c>
      <c r="G140" s="12" t="s">
        <v>64</v>
      </c>
      <c r="H140" s="11" t="s">
        <v>171</v>
      </c>
      <c r="I140" s="11" t="s">
        <v>171</v>
      </c>
      <c r="J140" s="11" t="s">
        <v>46</v>
      </c>
      <c r="K140" s="11" t="s">
        <v>48</v>
      </c>
      <c r="L140" s="11" t="s">
        <v>49</v>
      </c>
      <c r="M140" s="11" t="s">
        <v>50</v>
      </c>
      <c r="N140" s="11" t="s">
        <v>51</v>
      </c>
      <c r="O140" s="13" t="str">
        <f aca="false">IF(AND(R140&gt;600,Q140&gt;20000),"OBEDECE",IF(AND(R140&gt;300,Q140&gt;=10000,Q140&lt;=20000),"OBEDECE",IF(AND(R140&gt;150,Q140&gt;=5000,Q140&lt;=9999),"OBEDECE",IF(AND(R140&gt;60,Q140&gt;=2000,Q140&lt;=4999),"OBEDECE",IF(AND(R140&gt;30,Q140&gt;=1000,Q140&lt;=1999),"OBEDECE",IF(AND(R140&lt;=29,Q140&lt;=1000),"OBEDECE","NÃO OBEDECE"))))))</f>
        <v>NÃO OBEDECE</v>
      </c>
      <c r="P140" s="3" t="s">
        <v>68</v>
      </c>
      <c r="Q140" s="4" t="n">
        <v>21634</v>
      </c>
      <c r="R140" s="4" t="n">
        <v>258</v>
      </c>
      <c r="S140" s="14" t="n">
        <v>0</v>
      </c>
      <c r="T140" s="14" t="n">
        <v>1</v>
      </c>
      <c r="U140" s="14" t="n">
        <v>0</v>
      </c>
      <c r="V140" s="14" t="n">
        <v>0</v>
      </c>
      <c r="W140" s="14" t="n">
        <v>1</v>
      </c>
      <c r="X140" s="14" t="n">
        <v>0</v>
      </c>
      <c r="Y140" s="14" t="n">
        <v>0</v>
      </c>
      <c r="Z140" s="14" t="n">
        <v>2</v>
      </c>
      <c r="AA140" s="14" t="n">
        <v>0</v>
      </c>
      <c r="AB140" s="14" t="n">
        <v>0</v>
      </c>
      <c r="AC140" s="14" t="n">
        <v>0</v>
      </c>
      <c r="AD140" s="14" t="n">
        <v>1</v>
      </c>
      <c r="AE140" s="14" t="n">
        <v>0</v>
      </c>
      <c r="AF140" s="14" t="n">
        <v>0</v>
      </c>
      <c r="AG140" s="14" t="n">
        <v>0</v>
      </c>
      <c r="AH140" s="14" t="n">
        <v>0</v>
      </c>
      <c r="AI140" s="14" t="n">
        <v>0</v>
      </c>
      <c r="AJ140" s="14" t="n">
        <v>0</v>
      </c>
      <c r="AK140" s="14" t="n">
        <v>0</v>
      </c>
      <c r="AL140" s="14" t="n">
        <v>0</v>
      </c>
      <c r="AM140" s="14" t="n">
        <v>0</v>
      </c>
    </row>
    <row r="141" customFormat="false" ht="15" hidden="false" customHeight="false" outlineLevel="0" collapsed="false">
      <c r="A141" s="11" t="s">
        <v>273</v>
      </c>
      <c r="B141" s="11" t="s">
        <v>54</v>
      </c>
      <c r="C141" s="11" t="s">
        <v>66</v>
      </c>
      <c r="D141" s="11" t="s">
        <v>55</v>
      </c>
      <c r="E141" s="11" t="s">
        <v>118</v>
      </c>
      <c r="F141" s="11" t="s">
        <v>57</v>
      </c>
      <c r="G141" s="12" t="s">
        <v>161</v>
      </c>
      <c r="H141" s="11" t="s">
        <v>171</v>
      </c>
      <c r="I141" s="11" t="s">
        <v>171</v>
      </c>
      <c r="J141" s="11" t="s">
        <v>47</v>
      </c>
      <c r="K141" s="11" t="s">
        <v>48</v>
      </c>
      <c r="L141" s="11" t="s">
        <v>49</v>
      </c>
      <c r="M141" s="11" t="s">
        <v>50</v>
      </c>
      <c r="N141" s="11" t="s">
        <v>71</v>
      </c>
      <c r="O141" s="13" t="str">
        <f aca="false">IF(AND(R141&gt;600,Q141&gt;20000),"OBEDECE",IF(AND(R141&gt;300,Q141&gt;=10000,Q141&lt;=20000),"OBEDECE",IF(AND(R141&gt;150,Q141&gt;=5000,Q141&lt;=9999),"OBEDECE",IF(AND(R141&gt;60,Q141&gt;=2000,Q141&lt;=4999),"OBEDECE",IF(AND(R141&gt;30,Q141&gt;=1000,Q141&lt;=1999),"OBEDECE",IF(AND(R141&lt;=29,Q141&lt;=1000),"OBEDECE","NÃO OBEDECE"))))))</f>
        <v>OBEDECE</v>
      </c>
      <c r="P141" s="3" t="s">
        <v>62</v>
      </c>
      <c r="Q141" s="4" t="n">
        <v>7927</v>
      </c>
      <c r="R141" s="4" t="n">
        <v>258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</row>
    <row r="142" customFormat="false" ht="15" hidden="false" customHeight="false" outlineLevel="0" collapsed="false">
      <c r="A142" s="11" t="s">
        <v>274</v>
      </c>
      <c r="B142" s="11" t="s">
        <v>40</v>
      </c>
      <c r="C142" s="11" t="s">
        <v>66</v>
      </c>
      <c r="D142" s="11" t="s">
        <v>42</v>
      </c>
      <c r="E142" s="11" t="s">
        <v>118</v>
      </c>
      <c r="F142" s="11" t="s">
        <v>57</v>
      </c>
      <c r="G142" s="12" t="s">
        <v>122</v>
      </c>
      <c r="H142" s="11" t="s">
        <v>171</v>
      </c>
      <c r="I142" s="11" t="s">
        <v>171</v>
      </c>
      <c r="J142" s="11" t="s">
        <v>47</v>
      </c>
      <c r="K142" s="11" t="s">
        <v>48</v>
      </c>
      <c r="L142" s="11" t="s">
        <v>49</v>
      </c>
      <c r="M142" s="11" t="s">
        <v>60</v>
      </c>
      <c r="N142" s="11" t="s">
        <v>61</v>
      </c>
      <c r="O142" s="13" t="str">
        <f aca="false">IF(AND(R142&gt;600,Q142&gt;20000),"OBEDECE",IF(AND(R142&gt;300,Q142&gt;=10000,Q142&lt;=20000),"OBEDECE",IF(AND(R142&gt;150,Q142&gt;=5000,Q142&lt;=9999),"OBEDECE",IF(AND(R142&gt;60,Q142&gt;=2000,Q142&lt;=4999),"OBEDECE",IF(AND(R142&gt;30,Q142&gt;=1000,Q142&lt;=1999),"OBEDECE",IF(AND(R142&lt;=29,Q142&lt;=1000),"OBEDECE","NÃO OBEDECE"))))))</f>
        <v>NÃO OBEDECE</v>
      </c>
      <c r="P142" s="3" t="s">
        <v>62</v>
      </c>
      <c r="Q142" s="4" t="n">
        <v>12736</v>
      </c>
      <c r="R142" s="4" t="n">
        <v>258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</v>
      </c>
      <c r="AE142" s="14" t="n">
        <v>0</v>
      </c>
      <c r="AF142" s="14" t="n">
        <v>0</v>
      </c>
      <c r="AG142" s="14" t="n">
        <v>0</v>
      </c>
      <c r="AH142" s="14" t="n">
        <v>0</v>
      </c>
      <c r="AI142" s="14" t="n">
        <v>0</v>
      </c>
      <c r="AJ142" s="14" t="n">
        <v>0</v>
      </c>
      <c r="AK142" s="14" t="n">
        <v>0</v>
      </c>
      <c r="AL142" s="14" t="n">
        <v>0</v>
      </c>
      <c r="AM142" s="14" t="n">
        <v>0</v>
      </c>
    </row>
    <row r="143" customFormat="false" ht="15" hidden="false" customHeight="false" outlineLevel="0" collapsed="false">
      <c r="A143" s="11" t="s">
        <v>275</v>
      </c>
      <c r="B143" s="11" t="s">
        <v>40</v>
      </c>
      <c r="C143" s="11" t="s">
        <v>41</v>
      </c>
      <c r="D143" s="11" t="s">
        <v>42</v>
      </c>
      <c r="E143" s="11" t="s">
        <v>118</v>
      </c>
      <c r="F143" s="11" t="s">
        <v>57</v>
      </c>
      <c r="G143" s="12" t="s">
        <v>276</v>
      </c>
      <c r="H143" s="11" t="s">
        <v>171</v>
      </c>
      <c r="I143" s="11" t="s">
        <v>171</v>
      </c>
      <c r="J143" s="11" t="s">
        <v>47</v>
      </c>
      <c r="K143" s="11" t="s">
        <v>48</v>
      </c>
      <c r="L143" s="11" t="s">
        <v>49</v>
      </c>
      <c r="M143" s="11" t="s">
        <v>50</v>
      </c>
      <c r="N143" s="11" t="s">
        <v>61</v>
      </c>
      <c r="O143" s="13" t="str">
        <f aca="false">IF(AND(R143&gt;600,Q143&gt;20000),"OBEDECE",IF(AND(R143&gt;300,Q143&gt;=10000,Q143&lt;=20000),"OBEDECE",IF(AND(R143&gt;150,Q143&gt;=5000,Q143&lt;=9999),"OBEDECE",IF(AND(R143&gt;60,Q143&gt;=2000,Q143&lt;=4999),"OBEDECE",IF(AND(R143&gt;30,Q143&gt;=1000,Q143&lt;=1999),"OBEDECE",IF(AND(R143&lt;=29,Q143&lt;=1000),"OBEDECE","NÃO OBEDECE"))))))</f>
        <v>NÃO OBEDECE</v>
      </c>
      <c r="P143" s="3" t="s">
        <v>62</v>
      </c>
      <c r="Q143" s="4" t="n">
        <v>18328</v>
      </c>
      <c r="R143" s="4" t="n">
        <v>263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</row>
    <row r="144" customFormat="false" ht="15" hidden="false" customHeight="false" outlineLevel="0" collapsed="false">
      <c r="A144" s="11" t="s">
        <v>277</v>
      </c>
      <c r="B144" s="11" t="s">
        <v>54</v>
      </c>
      <c r="C144" s="11" t="s">
        <v>41</v>
      </c>
      <c r="D144" s="11" t="s">
        <v>55</v>
      </c>
      <c r="E144" s="11" t="s">
        <v>118</v>
      </c>
      <c r="F144" s="11" t="s">
        <v>57</v>
      </c>
      <c r="G144" s="12" t="s">
        <v>278</v>
      </c>
      <c r="H144" s="11" t="s">
        <v>171</v>
      </c>
      <c r="I144" s="11" t="s">
        <v>171</v>
      </c>
      <c r="J144" s="11" t="s">
        <v>47</v>
      </c>
      <c r="K144" s="11" t="s">
        <v>59</v>
      </c>
      <c r="L144" s="11" t="s">
        <v>49</v>
      </c>
      <c r="M144" s="11" t="s">
        <v>60</v>
      </c>
      <c r="N144" s="11" t="s">
        <v>123</v>
      </c>
      <c r="O144" s="13" t="str">
        <f aca="false">IF(AND(R144&gt;600,Q144&gt;20000),"OBEDECE",IF(AND(R144&gt;300,Q144&gt;=10000,Q144&lt;=20000),"OBEDECE",IF(AND(R144&gt;150,Q144&gt;=5000,Q144&lt;=9999),"OBEDECE",IF(AND(R144&gt;60,Q144&gt;=2000,Q144&lt;=4999),"OBEDECE",IF(AND(R144&gt;30,Q144&gt;=1000,Q144&lt;=1999),"OBEDECE",IF(AND(R144&lt;=29,Q144&lt;=1000),"OBEDECE","NÃO OBEDECE"))))))</f>
        <v>OBEDECE</v>
      </c>
      <c r="P144" s="3" t="s">
        <v>62</v>
      </c>
      <c r="Q144" s="4" t="n">
        <v>3749</v>
      </c>
      <c r="R144" s="4" t="n">
        <v>263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</v>
      </c>
      <c r="AE144" s="14" t="n">
        <v>0</v>
      </c>
      <c r="AF144" s="14" t="n">
        <v>0</v>
      </c>
      <c r="AG144" s="14" t="n">
        <v>0</v>
      </c>
      <c r="AH144" s="14" t="n">
        <v>0</v>
      </c>
      <c r="AI144" s="14" t="n">
        <v>0</v>
      </c>
      <c r="AJ144" s="14" t="n">
        <v>0</v>
      </c>
      <c r="AK144" s="14" t="n">
        <v>0</v>
      </c>
      <c r="AL144" s="14" t="n">
        <v>0</v>
      </c>
      <c r="AM144" s="14" t="n">
        <v>0</v>
      </c>
    </row>
    <row r="145" customFormat="false" ht="15" hidden="true" customHeight="false" outlineLevel="0" collapsed="false">
      <c r="A145" s="11" t="s">
        <v>279</v>
      </c>
      <c r="B145" s="11" t="s">
        <v>40</v>
      </c>
      <c r="C145" s="11" t="s">
        <v>41</v>
      </c>
      <c r="D145" s="11" t="s">
        <v>42</v>
      </c>
      <c r="E145" s="11" t="s">
        <v>56</v>
      </c>
      <c r="F145" s="11" t="s">
        <v>57</v>
      </c>
      <c r="G145" s="12"/>
      <c r="H145" s="11" t="s">
        <v>171</v>
      </c>
      <c r="I145" s="11" t="s">
        <v>47</v>
      </c>
      <c r="J145" s="11" t="s">
        <v>47</v>
      </c>
      <c r="K145" s="11" t="s">
        <v>48</v>
      </c>
      <c r="L145" s="11" t="s">
        <v>49</v>
      </c>
      <c r="M145" s="11" t="s">
        <v>60</v>
      </c>
      <c r="N145" s="11" t="s">
        <v>71</v>
      </c>
      <c r="O145" s="13" t="str">
        <f aca="false">IF(AND(R145&gt;600,Q145&gt;20000),"OBEDECE",IF(AND(R145&gt;300,Q145&gt;=10000,Q145&lt;=20000),"OBEDECE",IF(AND(R145&gt;150,Q145&gt;=5000,Q145&lt;=9999),"OBEDECE",IF(AND(R145&gt;60,Q145&gt;=2000,Q145&lt;=4999),"OBEDECE",IF(AND(R145&gt;30,Q145&gt;=1000,Q145&lt;=1999),"OBEDECE",IF(AND(R145&lt;=29,Q145&lt;=1000),"OBEDECE","NÃO OBEDECE"))))))</f>
        <v>NÃO OBEDECE</v>
      </c>
      <c r="P145" s="3" t="s">
        <v>62</v>
      </c>
      <c r="Q145" s="4" t="n">
        <v>7201</v>
      </c>
      <c r="R145" s="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</row>
    <row r="146" customFormat="false" ht="15" hidden="false" customHeight="false" outlineLevel="0" collapsed="false">
      <c r="A146" s="11" t="s">
        <v>280</v>
      </c>
      <c r="B146" s="11" t="s">
        <v>54</v>
      </c>
      <c r="C146" s="11" t="s">
        <v>66</v>
      </c>
      <c r="D146" s="11" t="s">
        <v>42</v>
      </c>
      <c r="E146" s="11" t="s">
        <v>118</v>
      </c>
      <c r="F146" s="11" t="s">
        <v>57</v>
      </c>
      <c r="G146" s="12" t="s">
        <v>161</v>
      </c>
      <c r="H146" s="11" t="s">
        <v>171</v>
      </c>
      <c r="I146" s="11" t="s">
        <v>171</v>
      </c>
      <c r="J146" s="11" t="s">
        <v>47</v>
      </c>
      <c r="K146" s="11" t="s">
        <v>48</v>
      </c>
      <c r="L146" s="11" t="s">
        <v>49</v>
      </c>
      <c r="M146" s="11" t="s">
        <v>50</v>
      </c>
      <c r="N146" s="11" t="s">
        <v>51</v>
      </c>
      <c r="O146" s="13" t="str">
        <f aca="false">IF(AND(R146&gt;600,Q146&gt;20000),"OBEDECE",IF(AND(R146&gt;300,Q146&gt;=10000,Q146&lt;=20000),"OBEDECE",IF(AND(R146&gt;150,Q146&gt;=5000,Q146&lt;=9999),"OBEDECE",IF(AND(R146&gt;60,Q146&gt;=2000,Q146&lt;=4999),"OBEDECE",IF(AND(R146&gt;30,Q146&gt;=1000,Q146&lt;=1999),"OBEDECE",IF(AND(R146&lt;=29,Q146&lt;=1000),"OBEDECE","NÃO OBEDECE"))))))</f>
        <v>NÃO OBEDECE</v>
      </c>
      <c r="P146" s="3" t="s">
        <v>52</v>
      </c>
      <c r="Q146" s="4" t="n">
        <v>22519</v>
      </c>
      <c r="R146" s="4" t="n">
        <v>259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</v>
      </c>
      <c r="AE146" s="14" t="n">
        <v>0</v>
      </c>
      <c r="AF146" s="14" t="n">
        <v>0</v>
      </c>
      <c r="AG146" s="14" t="n">
        <v>0</v>
      </c>
      <c r="AH146" s="14" t="n">
        <v>0</v>
      </c>
      <c r="AI146" s="14" t="n">
        <v>2</v>
      </c>
      <c r="AJ146" s="14" t="n">
        <v>0</v>
      </c>
      <c r="AK146" s="14" t="n">
        <v>0</v>
      </c>
      <c r="AL146" s="14" t="n">
        <v>0</v>
      </c>
      <c r="AM146" s="14" t="n">
        <v>0</v>
      </c>
    </row>
    <row r="147" customFormat="false" ht="15" hidden="false" customHeight="false" outlineLevel="0" collapsed="false">
      <c r="A147" s="11" t="s">
        <v>281</v>
      </c>
      <c r="B147" s="11" t="s">
        <v>54</v>
      </c>
      <c r="C147" s="11" t="s">
        <v>66</v>
      </c>
      <c r="D147" s="11" t="s">
        <v>55</v>
      </c>
      <c r="E147" s="11" t="s">
        <v>118</v>
      </c>
      <c r="F147" s="11" t="s">
        <v>57</v>
      </c>
      <c r="G147" s="12" t="s">
        <v>282</v>
      </c>
      <c r="H147" s="11" t="s">
        <v>171</v>
      </c>
      <c r="I147" s="11" t="s">
        <v>171</v>
      </c>
      <c r="J147" s="11" t="s">
        <v>47</v>
      </c>
      <c r="K147" s="11" t="s">
        <v>48</v>
      </c>
      <c r="L147" s="11" t="s">
        <v>49</v>
      </c>
      <c r="M147" s="11" t="s">
        <v>60</v>
      </c>
      <c r="N147" s="11" t="s">
        <v>71</v>
      </c>
      <c r="O147" s="13" t="str">
        <f aca="false">IF(AND(R147&gt;600,Q147&gt;20000),"OBEDECE",IF(AND(R147&gt;300,Q147&gt;=10000,Q147&lt;=20000),"OBEDECE",IF(AND(R147&gt;150,Q147&gt;=5000,Q147&lt;=9999),"OBEDECE",IF(AND(R147&gt;60,Q147&gt;=2000,Q147&lt;=4999),"OBEDECE",IF(AND(R147&gt;30,Q147&gt;=1000,Q147&lt;=1999),"OBEDECE",IF(AND(R147&lt;=29,Q147&lt;=1000),"OBEDECE","NÃO OBEDECE"))))))</f>
        <v>NÃO OBEDECE</v>
      </c>
      <c r="P147" s="3" t="s">
        <v>62</v>
      </c>
      <c r="Q147" s="4" t="n">
        <v>8000</v>
      </c>
      <c r="R147" s="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</row>
    <row r="148" customFormat="false" ht="15" hidden="false" customHeight="false" outlineLevel="0" collapsed="false">
      <c r="A148" s="10" t="s">
        <v>283</v>
      </c>
      <c r="B148" s="11" t="s">
        <v>40</v>
      </c>
      <c r="C148" s="11" t="s">
        <v>41</v>
      </c>
      <c r="D148" s="11" t="s">
        <v>42</v>
      </c>
      <c r="E148" s="11" t="s">
        <v>43</v>
      </c>
      <c r="F148" s="11" t="s">
        <v>44</v>
      </c>
      <c r="G148" s="12" t="s">
        <v>240</v>
      </c>
      <c r="H148" s="11" t="s">
        <v>171</v>
      </c>
      <c r="I148" s="11" t="s">
        <v>47</v>
      </c>
      <c r="J148" s="11" t="s">
        <v>46</v>
      </c>
      <c r="K148" s="11" t="s">
        <v>48</v>
      </c>
      <c r="L148" s="11" t="s">
        <v>49</v>
      </c>
      <c r="M148" s="11" t="s">
        <v>50</v>
      </c>
      <c r="N148" s="11" t="s">
        <v>51</v>
      </c>
      <c r="O148" s="13" t="str">
        <f aca="false">IF(AND(R148&gt;600,Q148&gt;20000),"OBEDECE",IF(AND(R148&gt;300,Q148&gt;=10000,Q148&lt;=20000),"OBEDECE",IF(AND(R148&gt;150,Q148&gt;=5000,Q148&lt;=9999),"OBEDECE",IF(AND(R148&gt;60,Q148&gt;=2000,Q148&lt;=4999),"OBEDECE",IF(AND(R148&gt;30,Q148&gt;=1000,Q148&lt;=1999),"OBEDECE",IF(AND(R148&lt;=29,Q148&lt;=1000),"OBEDECE","NÃO OBEDECE"))))))</f>
        <v>NÃO OBEDECE</v>
      </c>
      <c r="P148" s="3" t="s">
        <v>68</v>
      </c>
      <c r="Q148" s="4" t="n">
        <v>20174</v>
      </c>
      <c r="R148" s="4" t="n">
        <v>431</v>
      </c>
      <c r="S148" s="14" t="n">
        <v>0</v>
      </c>
      <c r="T148" s="14" t="n">
        <v>0</v>
      </c>
      <c r="U148" s="14" t="n">
        <v>0</v>
      </c>
      <c r="V148" s="14" t="n">
        <v>1</v>
      </c>
      <c r="W148" s="14" t="n">
        <v>0</v>
      </c>
      <c r="X148" s="14" t="n">
        <v>0</v>
      </c>
      <c r="Y148" s="14" t="n">
        <v>0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</v>
      </c>
      <c r="AE148" s="14" t="n">
        <v>0</v>
      </c>
      <c r="AF148" s="14" t="n">
        <v>0</v>
      </c>
      <c r="AG148" s="14" t="n">
        <v>0</v>
      </c>
      <c r="AH148" s="14" t="n">
        <v>0</v>
      </c>
      <c r="AI148" s="14" t="n">
        <v>0</v>
      </c>
      <c r="AJ148" s="14" t="n">
        <v>0</v>
      </c>
      <c r="AK148" s="14" t="n">
        <v>0</v>
      </c>
      <c r="AL148" s="14" t="n">
        <v>0</v>
      </c>
      <c r="AM148" s="14" t="n">
        <v>0</v>
      </c>
    </row>
    <row r="149" customFormat="false" ht="15" hidden="false" customHeight="false" outlineLevel="0" collapsed="false">
      <c r="A149" s="10" t="s">
        <v>284</v>
      </c>
      <c r="B149" s="11" t="s">
        <v>40</v>
      </c>
      <c r="C149" s="11" t="s">
        <v>41</v>
      </c>
      <c r="D149" s="11" t="s">
        <v>42</v>
      </c>
      <c r="E149" s="11" t="s">
        <v>118</v>
      </c>
      <c r="F149" s="11" t="s">
        <v>57</v>
      </c>
      <c r="G149" s="12" t="s">
        <v>64</v>
      </c>
      <c r="H149" s="11" t="s">
        <v>171</v>
      </c>
      <c r="I149" s="11" t="s">
        <v>171</v>
      </c>
      <c r="J149" s="11" t="s">
        <v>46</v>
      </c>
      <c r="K149" s="11" t="s">
        <v>48</v>
      </c>
      <c r="L149" s="11" t="s">
        <v>49</v>
      </c>
      <c r="M149" s="11" t="s">
        <v>50</v>
      </c>
      <c r="N149" s="11" t="s">
        <v>51</v>
      </c>
      <c r="O149" s="13" t="str">
        <f aca="false">IF(AND(R149&gt;600,Q149&gt;20000),"OBEDECE",IF(AND(R149&gt;300,Q149&gt;=10000,Q149&lt;=20000),"OBEDECE",IF(AND(R149&gt;150,Q149&gt;=5000,Q149&lt;=9999),"OBEDECE",IF(AND(R149&gt;60,Q149&gt;=2000,Q149&lt;=4999),"OBEDECE",IF(AND(R149&gt;30,Q149&gt;=1000,Q149&lt;=1999),"OBEDECE",IF(AND(R149&lt;=29,Q149&lt;=1000),"OBEDECE","NÃO OBEDECE"))))))</f>
        <v>NÃO OBEDECE</v>
      </c>
      <c r="P149" s="3" t="s">
        <v>52</v>
      </c>
      <c r="Q149" s="4" t="n">
        <v>20804</v>
      </c>
      <c r="R149" s="4" t="n">
        <v>480</v>
      </c>
      <c r="S149" s="14" t="n">
        <v>0</v>
      </c>
      <c r="T149" s="14" t="n">
        <v>0</v>
      </c>
      <c r="U149" s="14" t="n">
        <v>0</v>
      </c>
      <c r="V149" s="14" t="n">
        <v>1</v>
      </c>
      <c r="W149" s="14" t="n">
        <v>0</v>
      </c>
      <c r="X149" s="14" t="n">
        <v>1</v>
      </c>
      <c r="Y149" s="14" t="n">
        <v>1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1</v>
      </c>
      <c r="AH149" s="14" t="n">
        <v>0</v>
      </c>
      <c r="AI149" s="14" t="n">
        <v>0</v>
      </c>
      <c r="AJ149" s="14" t="n">
        <v>0</v>
      </c>
      <c r="AK149" s="14" t="n">
        <v>1</v>
      </c>
      <c r="AL149" s="14" t="n">
        <v>0</v>
      </c>
      <c r="AM149" s="14" t="n">
        <v>0</v>
      </c>
    </row>
    <row r="150" customFormat="false" ht="15" hidden="false" customHeight="false" outlineLevel="0" collapsed="false">
      <c r="A150" s="11" t="s">
        <v>285</v>
      </c>
      <c r="B150" s="11" t="s">
        <v>54</v>
      </c>
      <c r="C150" s="11" t="s">
        <v>41</v>
      </c>
      <c r="D150" s="11" t="s">
        <v>42</v>
      </c>
      <c r="E150" s="11" t="s">
        <v>118</v>
      </c>
      <c r="F150" s="11" t="s">
        <v>57</v>
      </c>
      <c r="G150" s="15" t="s">
        <v>286</v>
      </c>
      <c r="H150" s="11" t="s">
        <v>171</v>
      </c>
      <c r="I150" s="11" t="s">
        <v>171</v>
      </c>
      <c r="J150" s="11" t="s">
        <v>47</v>
      </c>
      <c r="K150" s="11" t="s">
        <v>59</v>
      </c>
      <c r="L150" s="11" t="s">
        <v>74</v>
      </c>
      <c r="M150" s="11" t="s">
        <v>60</v>
      </c>
      <c r="N150" s="11" t="s">
        <v>61</v>
      </c>
      <c r="O150" s="13" t="str">
        <f aca="false">IF(AND(R150&gt;600,Q150&gt;20000),"OBEDECE",IF(AND(R150&gt;300,Q150&gt;=10000,Q150&lt;=20000),"OBEDECE",IF(AND(R150&gt;150,Q150&gt;=5000,Q150&lt;=9999),"OBEDECE",IF(AND(R150&gt;60,Q150&gt;=2000,Q150&lt;=4999),"OBEDECE",IF(AND(R150&gt;30,Q150&gt;=1000,Q150&lt;=1999),"OBEDECE",IF(AND(R150&lt;=29,Q150&lt;=1000),"OBEDECE","NÃO OBEDECE"))))))</f>
        <v>NÃO OBEDECE</v>
      </c>
      <c r="P150" s="3" t="s">
        <v>52</v>
      </c>
      <c r="Q150" s="4" t="n">
        <v>10070</v>
      </c>
      <c r="R150" s="4" t="n">
        <v>266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</v>
      </c>
      <c r="AE150" s="14" t="n">
        <v>0</v>
      </c>
      <c r="AF150" s="14" t="n">
        <v>0</v>
      </c>
      <c r="AG150" s="14" t="n">
        <v>0</v>
      </c>
      <c r="AH150" s="14" t="n">
        <v>0</v>
      </c>
      <c r="AI150" s="14" t="n">
        <v>0</v>
      </c>
      <c r="AJ150" s="14" t="n">
        <v>0</v>
      </c>
      <c r="AK150" s="14" t="n">
        <v>1</v>
      </c>
      <c r="AL150" s="14" t="n">
        <v>0</v>
      </c>
      <c r="AM150" s="14" t="n">
        <v>0</v>
      </c>
    </row>
    <row r="151" customFormat="false" ht="15" hidden="false" customHeight="false" outlineLevel="0" collapsed="false">
      <c r="A151" s="11" t="s">
        <v>287</v>
      </c>
      <c r="B151" s="11" t="s">
        <v>54</v>
      </c>
      <c r="C151" s="11" t="s">
        <v>66</v>
      </c>
      <c r="D151" s="11" t="s">
        <v>55</v>
      </c>
      <c r="E151" s="11" t="s">
        <v>118</v>
      </c>
      <c r="F151" s="11" t="s">
        <v>57</v>
      </c>
      <c r="G151" s="15" t="s">
        <v>187</v>
      </c>
      <c r="H151" s="11" t="s">
        <v>171</v>
      </c>
      <c r="I151" s="11" t="s">
        <v>171</v>
      </c>
      <c r="J151" s="11" t="s">
        <v>47</v>
      </c>
      <c r="K151" s="11" t="s">
        <v>59</v>
      </c>
      <c r="L151" s="11" t="s">
        <v>49</v>
      </c>
      <c r="M151" s="11" t="s">
        <v>60</v>
      </c>
      <c r="N151" s="11" t="s">
        <v>71</v>
      </c>
      <c r="O151" s="13" t="str">
        <f aca="false">IF(AND(R151&gt;600,Q151&gt;20000),"OBEDECE",IF(AND(R151&gt;300,Q151&gt;=10000,Q151&lt;=20000),"OBEDECE",IF(AND(R151&gt;150,Q151&gt;=5000,Q151&lt;=9999),"OBEDECE",IF(AND(R151&gt;60,Q151&gt;=2000,Q151&lt;=4999),"OBEDECE",IF(AND(R151&gt;30,Q151&gt;=1000,Q151&lt;=1999),"OBEDECE",IF(AND(R151&lt;=29,Q151&lt;=1000),"OBEDECE","NÃO OBEDECE"))))))</f>
        <v>OBEDECE</v>
      </c>
      <c r="P151" s="3" t="s">
        <v>68</v>
      </c>
      <c r="Q151" s="4" t="n">
        <v>5836</v>
      </c>
      <c r="R151" s="4" t="n">
        <v>266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1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</row>
    <row r="152" customFormat="false" ht="15" hidden="false" customHeight="false" outlineLevel="0" collapsed="false">
      <c r="A152" s="11" t="s">
        <v>288</v>
      </c>
      <c r="B152" s="11" t="s">
        <v>54</v>
      </c>
      <c r="C152" s="11" t="s">
        <v>66</v>
      </c>
      <c r="D152" s="11" t="s">
        <v>55</v>
      </c>
      <c r="E152" s="11" t="s">
        <v>118</v>
      </c>
      <c r="F152" s="11" t="s">
        <v>57</v>
      </c>
      <c r="G152" s="12" t="s">
        <v>289</v>
      </c>
      <c r="H152" s="11" t="s">
        <v>171</v>
      </c>
      <c r="I152" s="11" t="s">
        <v>171</v>
      </c>
      <c r="J152" s="11" t="s">
        <v>47</v>
      </c>
      <c r="K152" s="11" t="s">
        <v>59</v>
      </c>
      <c r="L152" s="11" t="s">
        <v>135</v>
      </c>
      <c r="M152" s="11" t="s">
        <v>60</v>
      </c>
      <c r="N152" s="11" t="s">
        <v>71</v>
      </c>
      <c r="O152" s="13" t="str">
        <f aca="false">IF(AND(R152&gt;600,Q152&gt;20000),"OBEDECE",IF(AND(R152&gt;300,Q152&gt;=10000,Q152&lt;=20000),"OBEDECE",IF(AND(R152&gt;150,Q152&gt;=5000,Q152&lt;=9999),"OBEDECE",IF(AND(R152&gt;60,Q152&gt;=2000,Q152&lt;=4999),"OBEDECE",IF(AND(R152&gt;30,Q152&gt;=1000,Q152&lt;=1999),"OBEDECE",IF(AND(R152&lt;=29,Q152&lt;=1000),"OBEDECE","NÃO OBEDECE"))))))</f>
        <v>OBEDECE</v>
      </c>
      <c r="P152" s="3" t="s">
        <v>62</v>
      </c>
      <c r="Q152" s="4" t="n">
        <v>7857</v>
      </c>
      <c r="R152" s="4" t="n">
        <v>266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</v>
      </c>
      <c r="AE152" s="14" t="n">
        <v>0</v>
      </c>
      <c r="AF152" s="14" t="n">
        <v>0</v>
      </c>
      <c r="AG152" s="14" t="n">
        <v>0</v>
      </c>
      <c r="AH152" s="14" t="n">
        <v>0</v>
      </c>
      <c r="AI152" s="14" t="n">
        <v>0</v>
      </c>
      <c r="AJ152" s="14" t="n">
        <v>0</v>
      </c>
      <c r="AK152" s="14" t="n">
        <v>0</v>
      </c>
      <c r="AL152" s="14" t="n">
        <v>0</v>
      </c>
      <c r="AM152" s="14" t="n">
        <v>0</v>
      </c>
    </row>
    <row r="153" customFormat="false" ht="15" hidden="false" customHeight="false" outlineLevel="0" collapsed="false">
      <c r="A153" s="11" t="s">
        <v>290</v>
      </c>
      <c r="B153" s="11" t="s">
        <v>54</v>
      </c>
      <c r="C153" s="11" t="s">
        <v>66</v>
      </c>
      <c r="D153" s="11" t="s">
        <v>55</v>
      </c>
      <c r="E153" s="11" t="s">
        <v>118</v>
      </c>
      <c r="F153" s="11" t="s">
        <v>57</v>
      </c>
      <c r="G153" s="15" t="s">
        <v>291</v>
      </c>
      <c r="H153" s="11" t="s">
        <v>171</v>
      </c>
      <c r="I153" s="11" t="s">
        <v>171</v>
      </c>
      <c r="J153" s="11" t="s">
        <v>47</v>
      </c>
      <c r="K153" s="11" t="s">
        <v>59</v>
      </c>
      <c r="L153" s="11" t="s">
        <v>74</v>
      </c>
      <c r="M153" s="11" t="s">
        <v>50</v>
      </c>
      <c r="N153" s="11" t="s">
        <v>71</v>
      </c>
      <c r="O153" s="13" t="str">
        <f aca="false">IF(AND(R153&gt;600,Q153&gt;20000),"OBEDECE",IF(AND(R153&gt;300,Q153&gt;=10000,Q153&lt;=20000),"OBEDECE",IF(AND(R153&gt;150,Q153&gt;=5000,Q153&lt;=9999),"OBEDECE",IF(AND(R153&gt;60,Q153&gt;=2000,Q153&lt;=4999),"OBEDECE",IF(AND(R153&gt;30,Q153&gt;=1000,Q153&lt;=1999),"OBEDECE",IF(AND(R153&lt;=29,Q153&lt;=1000),"OBEDECE","NÃO OBEDECE"))))))</f>
        <v>OBEDECE</v>
      </c>
      <c r="P153" s="3" t="s">
        <v>62</v>
      </c>
      <c r="Q153" s="4" t="n">
        <v>9140</v>
      </c>
      <c r="R153" s="4" t="n">
        <v>266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</row>
    <row r="154" customFormat="false" ht="15" hidden="false" customHeight="false" outlineLevel="0" collapsed="false">
      <c r="A154" s="11" t="s">
        <v>292</v>
      </c>
      <c r="B154" s="11" t="s">
        <v>54</v>
      </c>
      <c r="C154" s="11" t="s">
        <v>41</v>
      </c>
      <c r="D154" s="11" t="s">
        <v>55</v>
      </c>
      <c r="E154" s="11" t="s">
        <v>118</v>
      </c>
      <c r="F154" s="11" t="s">
        <v>57</v>
      </c>
      <c r="G154" s="15" t="s">
        <v>293</v>
      </c>
      <c r="H154" s="11" t="s">
        <v>171</v>
      </c>
      <c r="I154" s="11" t="s">
        <v>171</v>
      </c>
      <c r="J154" s="11" t="s">
        <v>47</v>
      </c>
      <c r="K154" s="11" t="s">
        <v>59</v>
      </c>
      <c r="L154" s="11" t="s">
        <v>49</v>
      </c>
      <c r="M154" s="11" t="s">
        <v>60</v>
      </c>
      <c r="N154" s="11" t="s">
        <v>71</v>
      </c>
      <c r="O154" s="13" t="str">
        <f aca="false">IF(AND(R154&gt;600,Q154&gt;20000),"OBEDECE",IF(AND(R154&gt;300,Q154&gt;=10000,Q154&lt;=20000),"OBEDECE",IF(AND(R154&gt;150,Q154&gt;=5000,Q154&lt;=9999),"OBEDECE",IF(AND(R154&gt;60,Q154&gt;=2000,Q154&lt;=4999),"OBEDECE",IF(AND(R154&gt;30,Q154&gt;=1000,Q154&lt;=1999),"OBEDECE",IF(AND(R154&lt;=29,Q154&lt;=1000),"OBEDECE","NÃO OBEDECE"))))))</f>
        <v>OBEDECE</v>
      </c>
      <c r="P154" s="3" t="s">
        <v>62</v>
      </c>
      <c r="Q154" s="4" t="n">
        <v>9714</v>
      </c>
      <c r="R154" s="4" t="n">
        <v>259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</v>
      </c>
      <c r="AE154" s="14" t="n">
        <v>0</v>
      </c>
      <c r="AF154" s="14" t="n">
        <v>0</v>
      </c>
      <c r="AG154" s="14" t="n">
        <v>0</v>
      </c>
      <c r="AH154" s="14" t="n">
        <v>0</v>
      </c>
      <c r="AI154" s="14" t="n">
        <v>0</v>
      </c>
      <c r="AJ154" s="14" t="n">
        <v>0</v>
      </c>
      <c r="AK154" s="14" t="n">
        <v>0</v>
      </c>
      <c r="AL154" s="14" t="n">
        <v>0</v>
      </c>
      <c r="AM154" s="14" t="n">
        <v>0</v>
      </c>
    </row>
    <row r="155" customFormat="false" ht="15" hidden="false" customHeight="false" outlineLevel="0" collapsed="false">
      <c r="A155" s="11" t="s">
        <v>294</v>
      </c>
      <c r="B155" s="11" t="s">
        <v>54</v>
      </c>
      <c r="C155" s="11" t="s">
        <v>41</v>
      </c>
      <c r="D155" s="11" t="s">
        <v>55</v>
      </c>
      <c r="E155" s="11" t="s">
        <v>118</v>
      </c>
      <c r="F155" s="11" t="s">
        <v>57</v>
      </c>
      <c r="G155" s="15" t="s">
        <v>221</v>
      </c>
      <c r="H155" s="11" t="s">
        <v>171</v>
      </c>
      <c r="I155" s="11" t="s">
        <v>171</v>
      </c>
      <c r="J155" s="11" t="s">
        <v>47</v>
      </c>
      <c r="K155" s="11" t="s">
        <v>59</v>
      </c>
      <c r="L155" s="11" t="s">
        <v>135</v>
      </c>
      <c r="M155" s="11" t="s">
        <v>50</v>
      </c>
      <c r="N155" s="11" t="s">
        <v>61</v>
      </c>
      <c r="O155" s="13" t="str">
        <f aca="false">IF(AND(R155&gt;600,Q155&gt;20000),"OBEDECE",IF(AND(R155&gt;300,Q155&gt;=10000,Q155&lt;=20000),"OBEDECE",IF(AND(R155&gt;150,Q155&gt;=5000,Q155&lt;=9999),"OBEDECE",IF(AND(R155&gt;60,Q155&gt;=2000,Q155&lt;=4999),"OBEDECE",IF(AND(R155&gt;30,Q155&gt;=1000,Q155&lt;=1999),"OBEDECE",IF(AND(R155&lt;=29,Q155&lt;=1000),"OBEDECE","NÃO OBEDECE"))))))</f>
        <v>NÃO OBEDECE</v>
      </c>
      <c r="P155" s="3" t="s">
        <v>62</v>
      </c>
      <c r="Q155" s="4" t="n">
        <v>11913</v>
      </c>
      <c r="R155" s="4" t="n">
        <v>259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</row>
    <row r="156" customFormat="false" ht="15" hidden="false" customHeight="false" outlineLevel="0" collapsed="false">
      <c r="A156" s="11" t="s">
        <v>295</v>
      </c>
      <c r="B156" s="11" t="s">
        <v>54</v>
      </c>
      <c r="C156" s="11" t="s">
        <v>66</v>
      </c>
      <c r="D156" s="11" t="s">
        <v>42</v>
      </c>
      <c r="E156" s="11" t="s">
        <v>118</v>
      </c>
      <c r="F156" s="11" t="s">
        <v>57</v>
      </c>
      <c r="G156" s="15" t="s">
        <v>296</v>
      </c>
      <c r="H156" s="11" t="s">
        <v>171</v>
      </c>
      <c r="I156" s="11" t="s">
        <v>171</v>
      </c>
      <c r="J156" s="11" t="s">
        <v>47</v>
      </c>
      <c r="K156" s="11" t="s">
        <v>59</v>
      </c>
      <c r="L156" s="11" t="s">
        <v>135</v>
      </c>
      <c r="M156" s="11" t="s">
        <v>60</v>
      </c>
      <c r="N156" s="11" t="s">
        <v>71</v>
      </c>
      <c r="O156" s="13" t="str">
        <f aca="false">IF(AND(R156&gt;600,Q156&gt;20000),"OBEDECE",IF(AND(R156&gt;300,Q156&gt;=10000,Q156&lt;=20000),"OBEDECE",IF(AND(R156&gt;150,Q156&gt;=5000,Q156&lt;=9999),"OBEDECE",IF(AND(R156&gt;60,Q156&gt;=2000,Q156&lt;=4999),"OBEDECE",IF(AND(R156&gt;30,Q156&gt;=1000,Q156&lt;=1999),"OBEDECE",IF(AND(R156&lt;=29,Q156&lt;=1000),"OBEDECE","NÃO OBEDECE"))))))</f>
        <v>OBEDECE</v>
      </c>
      <c r="P156" s="3" t="s">
        <v>68</v>
      </c>
      <c r="Q156" s="4" t="n">
        <v>9635</v>
      </c>
      <c r="R156" s="4" t="n">
        <v>259</v>
      </c>
      <c r="S156" s="14" t="n">
        <v>0</v>
      </c>
      <c r="T156" s="14" t="n">
        <v>0</v>
      </c>
      <c r="U156" s="14" t="n">
        <v>0</v>
      </c>
      <c r="V156" s="14" t="n">
        <v>1</v>
      </c>
      <c r="W156" s="14" t="n">
        <v>0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4" t="n">
        <v>0</v>
      </c>
      <c r="AC156" s="14" t="n">
        <v>0</v>
      </c>
      <c r="AD156" s="14" t="n">
        <v>0</v>
      </c>
      <c r="AE156" s="14" t="n">
        <v>0</v>
      </c>
      <c r="AF156" s="14" t="n">
        <v>0</v>
      </c>
      <c r="AG156" s="14" t="n">
        <v>0</v>
      </c>
      <c r="AH156" s="14" t="n">
        <v>0</v>
      </c>
      <c r="AI156" s="14" t="n">
        <v>0</v>
      </c>
      <c r="AJ156" s="14" t="n">
        <v>0</v>
      </c>
      <c r="AK156" s="14" t="n">
        <v>0</v>
      </c>
      <c r="AL156" s="14" t="n">
        <v>0</v>
      </c>
      <c r="AM156" s="14" t="n">
        <v>0</v>
      </c>
    </row>
    <row r="157" customFormat="false" ht="15" hidden="true" customHeight="false" outlineLevel="0" collapsed="false">
      <c r="A157" s="11" t="s">
        <v>297</v>
      </c>
      <c r="B157" s="11" t="s">
        <v>40</v>
      </c>
      <c r="C157" s="11" t="s">
        <v>66</v>
      </c>
      <c r="D157" s="11" t="s">
        <v>42</v>
      </c>
      <c r="E157" s="11" t="s">
        <v>43</v>
      </c>
      <c r="F157" s="11" t="s">
        <v>44</v>
      </c>
      <c r="G157" s="12"/>
      <c r="H157" s="11" t="s">
        <v>171</v>
      </c>
      <c r="I157" s="11" t="s">
        <v>47</v>
      </c>
      <c r="J157" s="11" t="s">
        <v>47</v>
      </c>
      <c r="K157" s="11" t="s">
        <v>59</v>
      </c>
      <c r="L157" s="11" t="s">
        <v>74</v>
      </c>
      <c r="M157" s="11" t="s">
        <v>60</v>
      </c>
      <c r="N157" s="11" t="s">
        <v>71</v>
      </c>
      <c r="O157" s="13" t="str">
        <f aca="false">IF(AND(R157&gt;600,Q157&gt;20000),"OBEDECE",IF(AND(R157&gt;300,Q157&gt;=10000,Q157&lt;=20000),"OBEDECE",IF(AND(R157&gt;150,Q157&gt;=5000,Q157&lt;=9999),"OBEDECE",IF(AND(R157&gt;60,Q157&gt;=2000,Q157&lt;=4999),"OBEDECE",IF(AND(R157&gt;30,Q157&gt;=1000,Q157&lt;=1999),"OBEDECE",IF(AND(R157&lt;=29,Q157&lt;=1000),"OBEDECE","NÃO OBEDECE"))))))</f>
        <v>NÃO OBEDECE</v>
      </c>
      <c r="P157" s="3" t="s">
        <v>62</v>
      </c>
      <c r="Q157" s="4" t="n">
        <v>7702</v>
      </c>
      <c r="R157" s="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</row>
    <row r="158" customFormat="false" ht="15" hidden="false" customHeight="false" outlineLevel="0" collapsed="false">
      <c r="A158" s="11" t="s">
        <v>298</v>
      </c>
      <c r="B158" s="11" t="s">
        <v>54</v>
      </c>
      <c r="C158" s="11" t="s">
        <v>66</v>
      </c>
      <c r="D158" s="11" t="s">
        <v>55</v>
      </c>
      <c r="E158" s="11" t="s">
        <v>118</v>
      </c>
      <c r="F158" s="11" t="s">
        <v>57</v>
      </c>
      <c r="G158" s="12" t="s">
        <v>244</v>
      </c>
      <c r="H158" s="11" t="s">
        <v>171</v>
      </c>
      <c r="I158" s="11" t="s">
        <v>171</v>
      </c>
      <c r="J158" s="11" t="s">
        <v>47</v>
      </c>
      <c r="K158" s="11" t="s">
        <v>59</v>
      </c>
      <c r="L158" s="11" t="s">
        <v>74</v>
      </c>
      <c r="M158" s="11" t="s">
        <v>60</v>
      </c>
      <c r="N158" s="11" t="s">
        <v>71</v>
      </c>
      <c r="O158" s="13" t="str">
        <f aca="false">IF(AND(R158&gt;600,Q158&gt;20000),"OBEDECE",IF(AND(R158&gt;300,Q158&gt;=10000,Q158&lt;=20000),"OBEDECE",IF(AND(R158&gt;150,Q158&gt;=5000,Q158&lt;=9999),"OBEDECE",IF(AND(R158&gt;60,Q158&gt;=2000,Q158&lt;=4999),"OBEDECE",IF(AND(R158&gt;30,Q158&gt;=1000,Q158&lt;=1999),"OBEDECE",IF(AND(R158&lt;=29,Q158&lt;=1000),"OBEDECE","NÃO OBEDECE"))))))</f>
        <v>OBEDECE</v>
      </c>
      <c r="P158" s="3" t="s">
        <v>62</v>
      </c>
      <c r="Q158" s="4" t="n">
        <v>6496</v>
      </c>
      <c r="R158" s="4" t="n">
        <v>235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</v>
      </c>
      <c r="AE158" s="14" t="n">
        <v>0</v>
      </c>
      <c r="AF158" s="14" t="n">
        <v>0</v>
      </c>
      <c r="AG158" s="14" t="n">
        <v>0</v>
      </c>
      <c r="AH158" s="14" t="n">
        <v>0</v>
      </c>
      <c r="AI158" s="14" t="n">
        <v>0</v>
      </c>
      <c r="AJ158" s="14" t="n">
        <v>0</v>
      </c>
      <c r="AK158" s="14" t="n">
        <v>0</v>
      </c>
      <c r="AL158" s="14" t="n">
        <v>0</v>
      </c>
      <c r="AM158" s="14" t="n">
        <v>0</v>
      </c>
    </row>
    <row r="159" customFormat="false" ht="15" hidden="false" customHeight="false" outlineLevel="0" collapsed="false">
      <c r="A159" s="11" t="s">
        <v>299</v>
      </c>
      <c r="B159" s="11" t="s">
        <v>54</v>
      </c>
      <c r="C159" s="11" t="s">
        <v>41</v>
      </c>
      <c r="D159" s="11" t="s">
        <v>55</v>
      </c>
      <c r="E159" s="11" t="s">
        <v>118</v>
      </c>
      <c r="F159" s="11" t="s">
        <v>57</v>
      </c>
      <c r="G159" s="12" t="s">
        <v>182</v>
      </c>
      <c r="H159" s="11" t="s">
        <v>171</v>
      </c>
      <c r="I159" s="11" t="s">
        <v>171</v>
      </c>
      <c r="J159" s="11" t="s">
        <v>47</v>
      </c>
      <c r="K159" s="11" t="s">
        <v>59</v>
      </c>
      <c r="L159" s="11" t="s">
        <v>74</v>
      </c>
      <c r="M159" s="11" t="s">
        <v>50</v>
      </c>
      <c r="N159" s="11" t="s">
        <v>71</v>
      </c>
      <c r="O159" s="13" t="str">
        <f aca="false">IF(AND(R159&gt;600,Q159&gt;20000),"OBEDECE",IF(AND(R159&gt;300,Q159&gt;=10000,Q159&lt;=20000),"OBEDECE",IF(AND(R159&gt;150,Q159&gt;=5000,Q159&lt;=9999),"OBEDECE",IF(AND(R159&gt;60,Q159&gt;=2000,Q159&lt;=4999),"OBEDECE",IF(AND(R159&gt;30,Q159&gt;=1000,Q159&lt;=1999),"OBEDECE",IF(AND(R159&lt;=29,Q159&lt;=1000),"OBEDECE","NÃO OBEDECE"))))))</f>
        <v>OBEDECE</v>
      </c>
      <c r="P159" s="3" t="s">
        <v>62</v>
      </c>
      <c r="Q159" s="4" t="n">
        <v>9103</v>
      </c>
      <c r="R159" s="4" t="n">
        <v>275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</row>
    <row r="160" customFormat="false" ht="15" hidden="false" customHeight="false" outlineLevel="0" collapsed="false">
      <c r="A160" s="11" t="s">
        <v>300</v>
      </c>
      <c r="B160" s="11" t="s">
        <v>40</v>
      </c>
      <c r="C160" s="11" t="s">
        <v>66</v>
      </c>
      <c r="D160" s="11" t="s">
        <v>42</v>
      </c>
      <c r="E160" s="11" t="s">
        <v>118</v>
      </c>
      <c r="F160" s="11" t="s">
        <v>57</v>
      </c>
      <c r="G160" s="12" t="s">
        <v>129</v>
      </c>
      <c r="H160" s="11" t="s">
        <v>171</v>
      </c>
      <c r="I160" s="11" t="s">
        <v>171</v>
      </c>
      <c r="J160" s="11" t="s">
        <v>47</v>
      </c>
      <c r="K160" s="11" t="s">
        <v>59</v>
      </c>
      <c r="L160" s="11" t="s">
        <v>74</v>
      </c>
      <c r="M160" s="11" t="s">
        <v>60</v>
      </c>
      <c r="N160" s="11" t="s">
        <v>71</v>
      </c>
      <c r="O160" s="13" t="str">
        <f aca="false">IF(AND(R160&gt;600,Q160&gt;20000),"OBEDECE",IF(AND(R160&gt;300,Q160&gt;=10000,Q160&lt;=20000),"OBEDECE",IF(AND(R160&gt;150,Q160&gt;=5000,Q160&lt;=9999),"OBEDECE",IF(AND(R160&gt;60,Q160&gt;=2000,Q160&lt;=4999),"OBEDECE",IF(AND(R160&gt;30,Q160&gt;=1000,Q160&lt;=1999),"OBEDECE",IF(AND(R160&lt;=29,Q160&lt;=1000),"OBEDECE","NÃO OBEDECE"))))))</f>
        <v>OBEDECE</v>
      </c>
      <c r="P160" s="3" t="s">
        <v>62</v>
      </c>
      <c r="Q160" s="4" t="n">
        <v>9475</v>
      </c>
      <c r="R160" s="4" t="n">
        <v>264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  <c r="AA160" s="14" t="n">
        <v>0</v>
      </c>
      <c r="AB160" s="14" t="n">
        <v>0</v>
      </c>
      <c r="AC160" s="14" t="n">
        <v>0</v>
      </c>
      <c r="AD160" s="14" t="n">
        <v>0</v>
      </c>
      <c r="AE160" s="14" t="n">
        <v>0</v>
      </c>
      <c r="AF160" s="14" t="n">
        <v>0</v>
      </c>
      <c r="AG160" s="14" t="n">
        <v>0</v>
      </c>
      <c r="AH160" s="14" t="n">
        <v>0</v>
      </c>
      <c r="AI160" s="14" t="n">
        <v>0</v>
      </c>
      <c r="AJ160" s="14" t="n">
        <v>0</v>
      </c>
      <c r="AK160" s="14" t="n">
        <v>0</v>
      </c>
      <c r="AL160" s="14" t="n">
        <v>0</v>
      </c>
      <c r="AM160" s="14" t="n">
        <v>0</v>
      </c>
    </row>
    <row r="161" customFormat="false" ht="15" hidden="false" customHeight="false" outlineLevel="0" collapsed="false">
      <c r="A161" s="11" t="s">
        <v>301</v>
      </c>
      <c r="B161" s="11" t="s">
        <v>54</v>
      </c>
      <c r="C161" s="11" t="s">
        <v>66</v>
      </c>
      <c r="D161" s="11" t="s">
        <v>55</v>
      </c>
      <c r="E161" s="11" t="s">
        <v>118</v>
      </c>
      <c r="F161" s="11" t="s">
        <v>57</v>
      </c>
      <c r="G161" s="12" t="s">
        <v>92</v>
      </c>
      <c r="H161" s="11" t="s">
        <v>171</v>
      </c>
      <c r="I161" s="11" t="s">
        <v>171</v>
      </c>
      <c r="J161" s="11" t="s">
        <v>47</v>
      </c>
      <c r="K161" s="11" t="s">
        <v>59</v>
      </c>
      <c r="L161" s="11" t="s">
        <v>74</v>
      </c>
      <c r="M161" s="11" t="s">
        <v>50</v>
      </c>
      <c r="N161" s="11" t="s">
        <v>71</v>
      </c>
      <c r="O161" s="13" t="str">
        <f aca="false">IF(AND(R161&gt;600,Q161&gt;20000),"OBEDECE",IF(AND(R161&gt;300,Q161&gt;=10000,Q161&lt;=20000),"OBEDECE",IF(AND(R161&gt;150,Q161&gt;=5000,Q161&lt;=9999),"OBEDECE",IF(AND(R161&gt;60,Q161&gt;=2000,Q161&lt;=4999),"OBEDECE",IF(AND(R161&gt;30,Q161&gt;=1000,Q161&lt;=1999),"OBEDECE",IF(AND(R161&lt;=29,Q161&lt;=1000),"OBEDECE","NÃO OBEDECE"))))))</f>
        <v>OBEDECE</v>
      </c>
      <c r="P161" s="3" t="s">
        <v>62</v>
      </c>
      <c r="Q161" s="4" t="n">
        <v>8115</v>
      </c>
      <c r="R161" s="4" t="n">
        <v>265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</row>
    <row r="162" customFormat="false" ht="15" hidden="false" customHeight="false" outlineLevel="0" collapsed="false">
      <c r="A162" s="11" t="s">
        <v>302</v>
      </c>
      <c r="B162" s="11" t="s">
        <v>40</v>
      </c>
      <c r="C162" s="11" t="s">
        <v>66</v>
      </c>
      <c r="D162" s="11" t="s">
        <v>42</v>
      </c>
      <c r="E162" s="11" t="s">
        <v>118</v>
      </c>
      <c r="F162" s="11" t="s">
        <v>57</v>
      </c>
      <c r="G162" s="12" t="s">
        <v>235</v>
      </c>
      <c r="H162" s="11" t="s">
        <v>171</v>
      </c>
      <c r="I162" s="11" t="s">
        <v>171</v>
      </c>
      <c r="J162" s="11" t="s">
        <v>47</v>
      </c>
      <c r="K162" s="11" t="s">
        <v>59</v>
      </c>
      <c r="L162" s="11" t="s">
        <v>74</v>
      </c>
      <c r="M162" s="11" t="s">
        <v>50</v>
      </c>
      <c r="N162" s="11" t="s">
        <v>51</v>
      </c>
      <c r="O162" s="13" t="str">
        <f aca="false">IF(AND(R162&gt;600,Q162&gt;20000),"OBEDECE",IF(AND(R162&gt;300,Q162&gt;=10000,Q162&lt;=20000),"OBEDECE",IF(AND(R162&gt;150,Q162&gt;=5000,Q162&lt;=9999),"OBEDECE",IF(AND(R162&gt;60,Q162&gt;=2000,Q162&lt;=4999),"OBEDECE",IF(AND(R162&gt;30,Q162&gt;=1000,Q162&lt;=1999),"OBEDECE",IF(AND(R162&lt;=29,Q162&lt;=1000),"OBEDECE","NÃO OBEDECE"))))))</f>
        <v>NÃO OBEDECE</v>
      </c>
      <c r="P162" s="3" t="s">
        <v>62</v>
      </c>
      <c r="Q162" s="4" t="n">
        <v>20925</v>
      </c>
      <c r="R162" s="4" t="n">
        <v>265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</v>
      </c>
      <c r="AE162" s="14" t="n">
        <v>0</v>
      </c>
      <c r="AF162" s="14" t="n">
        <v>0</v>
      </c>
      <c r="AG162" s="14" t="n">
        <v>0</v>
      </c>
      <c r="AH162" s="14" t="n">
        <v>0</v>
      </c>
      <c r="AI162" s="14" t="n">
        <v>0</v>
      </c>
      <c r="AJ162" s="14" t="n">
        <v>0</v>
      </c>
      <c r="AK162" s="14" t="n">
        <v>0</v>
      </c>
      <c r="AL162" s="14" t="n">
        <v>0</v>
      </c>
      <c r="AM162" s="14" t="n">
        <v>0</v>
      </c>
    </row>
    <row r="163" customFormat="false" ht="15" hidden="false" customHeight="false" outlineLevel="0" collapsed="false">
      <c r="A163" s="11" t="s">
        <v>303</v>
      </c>
      <c r="B163" s="11" t="s">
        <v>40</v>
      </c>
      <c r="C163" s="11" t="s">
        <v>41</v>
      </c>
      <c r="D163" s="11" t="s">
        <v>42</v>
      </c>
      <c r="E163" s="11" t="s">
        <v>118</v>
      </c>
      <c r="F163" s="11" t="s">
        <v>57</v>
      </c>
      <c r="G163" s="12" t="s">
        <v>73</v>
      </c>
      <c r="H163" s="11" t="s">
        <v>171</v>
      </c>
      <c r="I163" s="11" t="s">
        <v>171</v>
      </c>
      <c r="J163" s="11" t="s">
        <v>47</v>
      </c>
      <c r="K163" s="11" t="s">
        <v>59</v>
      </c>
      <c r="L163" s="11" t="s">
        <v>74</v>
      </c>
      <c r="M163" s="11" t="s">
        <v>60</v>
      </c>
      <c r="N163" s="11" t="s">
        <v>51</v>
      </c>
      <c r="O163" s="13" t="str">
        <f aca="false">IF(AND(R163&gt;600,Q163&gt;20000),"OBEDECE",IF(AND(R163&gt;300,Q163&gt;=10000,Q163&lt;=20000),"OBEDECE",IF(AND(R163&gt;150,Q163&gt;=5000,Q163&lt;=9999),"OBEDECE",IF(AND(R163&gt;60,Q163&gt;=2000,Q163&lt;=4999),"OBEDECE",IF(AND(R163&gt;30,Q163&gt;=1000,Q163&lt;=1999),"OBEDECE",IF(AND(R163&lt;=29,Q163&lt;=1000),"OBEDECE","NÃO OBEDECE"))))))</f>
        <v>NÃO OBEDECE</v>
      </c>
      <c r="P163" s="3" t="s">
        <v>62</v>
      </c>
      <c r="Q163" s="4" t="n">
        <v>35023</v>
      </c>
      <c r="R163" s="4" t="n">
        <v>253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4" t="n">
        <v>0</v>
      </c>
      <c r="AF163" s="14" t="n">
        <v>0</v>
      </c>
      <c r="AG163" s="14" t="n">
        <v>0</v>
      </c>
      <c r="AH163" s="14" t="n">
        <v>0</v>
      </c>
      <c r="AI163" s="14" t="n">
        <v>0</v>
      </c>
      <c r="AJ163" s="14" t="n">
        <v>0</v>
      </c>
      <c r="AK163" s="14" t="n">
        <v>0</v>
      </c>
      <c r="AL163" s="14" t="n">
        <v>0</v>
      </c>
      <c r="AM163" s="14" t="n">
        <v>0</v>
      </c>
    </row>
    <row r="164" customFormat="false" ht="15" hidden="false" customHeight="false" outlineLevel="0" collapsed="false">
      <c r="A164" s="11" t="s">
        <v>304</v>
      </c>
      <c r="B164" s="11" t="s">
        <v>40</v>
      </c>
      <c r="C164" s="11" t="s">
        <v>66</v>
      </c>
      <c r="D164" s="11" t="s">
        <v>42</v>
      </c>
      <c r="E164" s="11" t="s">
        <v>118</v>
      </c>
      <c r="F164" s="11" t="s">
        <v>57</v>
      </c>
      <c r="G164" s="12" t="s">
        <v>305</v>
      </c>
      <c r="H164" s="11" t="s">
        <v>171</v>
      </c>
      <c r="I164" s="11" t="s">
        <v>171</v>
      </c>
      <c r="J164" s="11" t="s">
        <v>47</v>
      </c>
      <c r="K164" s="11" t="s">
        <v>59</v>
      </c>
      <c r="L164" s="11" t="s">
        <v>74</v>
      </c>
      <c r="M164" s="11" t="s">
        <v>60</v>
      </c>
      <c r="N164" s="11" t="s">
        <v>61</v>
      </c>
      <c r="O164" s="13" t="str">
        <f aca="false">IF(AND(R164&gt;600,Q164&gt;20000),"OBEDECE",IF(AND(R164&gt;300,Q164&gt;=10000,Q164&lt;=20000),"OBEDECE",IF(AND(R164&gt;150,Q164&gt;=5000,Q164&lt;=9999),"OBEDECE",IF(AND(R164&gt;60,Q164&gt;=2000,Q164&lt;=4999),"OBEDECE",IF(AND(R164&gt;30,Q164&gt;=1000,Q164&lt;=1999),"OBEDECE",IF(AND(R164&lt;=29,Q164&lt;=1000),"OBEDECE","NÃO OBEDECE"))))))</f>
        <v>NÃO OBEDECE</v>
      </c>
      <c r="P164" s="3" t="s">
        <v>62</v>
      </c>
      <c r="Q164" s="4" t="n">
        <v>19638</v>
      </c>
      <c r="R164" s="4" t="n">
        <v>248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</v>
      </c>
      <c r="AE164" s="14" t="n">
        <v>0</v>
      </c>
      <c r="AF164" s="14" t="n">
        <v>0</v>
      </c>
      <c r="AG164" s="14" t="n">
        <v>0</v>
      </c>
      <c r="AH164" s="14" t="n">
        <v>0</v>
      </c>
      <c r="AI164" s="14" t="n">
        <v>0</v>
      </c>
      <c r="AJ164" s="14" t="n">
        <v>0</v>
      </c>
      <c r="AK164" s="14" t="n">
        <v>0</v>
      </c>
      <c r="AL164" s="14" t="n">
        <v>0</v>
      </c>
      <c r="AM164" s="14" t="n">
        <v>0</v>
      </c>
    </row>
    <row r="165" customFormat="false" ht="15" hidden="false" customHeight="false" outlineLevel="0" collapsed="false">
      <c r="A165" s="11" t="s">
        <v>306</v>
      </c>
      <c r="B165" s="11" t="s">
        <v>54</v>
      </c>
      <c r="C165" s="11" t="s">
        <v>66</v>
      </c>
      <c r="D165" s="11" t="s">
        <v>55</v>
      </c>
      <c r="E165" s="11" t="s">
        <v>118</v>
      </c>
      <c r="F165" s="11" t="s">
        <v>57</v>
      </c>
      <c r="G165" s="12" t="s">
        <v>145</v>
      </c>
      <c r="H165" s="11" t="s">
        <v>171</v>
      </c>
      <c r="I165" s="11" t="s">
        <v>171</v>
      </c>
      <c r="J165" s="11" t="s">
        <v>47</v>
      </c>
      <c r="K165" s="11" t="s">
        <v>59</v>
      </c>
      <c r="L165" s="11" t="s">
        <v>74</v>
      </c>
      <c r="M165" s="11" t="s">
        <v>60</v>
      </c>
      <c r="N165" s="11" t="s">
        <v>61</v>
      </c>
      <c r="O165" s="13" t="str">
        <f aca="false">IF(AND(R165&gt;600,Q165&gt;20000),"OBEDECE",IF(AND(R165&gt;300,Q165&gt;=10000,Q165&lt;=20000),"OBEDECE",IF(AND(R165&gt;150,Q165&gt;=5000,Q165&lt;=9999),"OBEDECE",IF(AND(R165&gt;60,Q165&gt;=2000,Q165&lt;=4999),"OBEDECE",IF(AND(R165&gt;30,Q165&gt;=1000,Q165&lt;=1999),"OBEDECE",IF(AND(R165&lt;=29,Q165&lt;=1000),"OBEDECE","NÃO OBEDECE"))))))</f>
        <v>NÃO OBEDECE</v>
      </c>
      <c r="P165" s="3" t="s">
        <v>62</v>
      </c>
      <c r="Q165" s="4" t="n">
        <v>16647</v>
      </c>
      <c r="R165" s="4" t="n">
        <v>248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</row>
    <row r="166" customFormat="false" ht="15" hidden="false" customHeight="false" outlineLevel="0" collapsed="false">
      <c r="A166" s="11" t="s">
        <v>307</v>
      </c>
      <c r="B166" s="11" t="s">
        <v>54</v>
      </c>
      <c r="C166" s="11" t="s">
        <v>41</v>
      </c>
      <c r="D166" s="11" t="s">
        <v>42</v>
      </c>
      <c r="E166" s="11" t="s">
        <v>118</v>
      </c>
      <c r="F166" s="11" t="s">
        <v>57</v>
      </c>
      <c r="G166" s="12" t="s">
        <v>308</v>
      </c>
      <c r="H166" s="11" t="s">
        <v>171</v>
      </c>
      <c r="I166" s="11" t="s">
        <v>171</v>
      </c>
      <c r="J166" s="11" t="s">
        <v>47</v>
      </c>
      <c r="K166" s="11" t="s">
        <v>59</v>
      </c>
      <c r="L166" s="11" t="s">
        <v>74</v>
      </c>
      <c r="M166" s="11" t="s">
        <v>60</v>
      </c>
      <c r="N166" s="11" t="s">
        <v>61</v>
      </c>
      <c r="O166" s="13" t="str">
        <f aca="false">IF(AND(R166&gt;600,Q166&gt;20000),"OBEDECE",IF(AND(R166&gt;300,Q166&gt;=10000,Q166&lt;=20000),"OBEDECE",IF(AND(R166&gt;150,Q166&gt;=5000,Q166&lt;=9999),"OBEDECE",IF(AND(R166&gt;60,Q166&gt;=2000,Q166&lt;=4999),"OBEDECE",IF(AND(R166&gt;30,Q166&gt;=1000,Q166&lt;=1999),"OBEDECE",IF(AND(R166&lt;=29,Q166&lt;=1000),"OBEDECE","NÃO OBEDECE"))))))</f>
        <v>NÃO OBEDECE</v>
      </c>
      <c r="P166" s="3" t="s">
        <v>62</v>
      </c>
      <c r="Q166" s="4" t="n">
        <v>16479</v>
      </c>
      <c r="R166" s="4" t="n">
        <v>253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</v>
      </c>
      <c r="AE166" s="14" t="n">
        <v>0</v>
      </c>
      <c r="AF166" s="14" t="n">
        <v>0</v>
      </c>
      <c r="AG166" s="14" t="n">
        <v>0</v>
      </c>
      <c r="AH166" s="14" t="n">
        <v>0</v>
      </c>
      <c r="AI166" s="14" t="n">
        <v>0</v>
      </c>
      <c r="AJ166" s="14" t="n">
        <v>0</v>
      </c>
      <c r="AK166" s="14" t="n">
        <v>0</v>
      </c>
      <c r="AL166" s="14" t="n">
        <v>0</v>
      </c>
      <c r="AM166" s="14" t="n">
        <v>0</v>
      </c>
    </row>
    <row r="167" customFormat="false" ht="15" hidden="false" customHeight="false" outlineLevel="0" collapsed="false">
      <c r="A167" s="11" t="s">
        <v>309</v>
      </c>
      <c r="B167" s="11" t="s">
        <v>54</v>
      </c>
      <c r="C167" s="11" t="s">
        <v>41</v>
      </c>
      <c r="D167" s="11" t="s">
        <v>55</v>
      </c>
      <c r="E167" s="11" t="s">
        <v>118</v>
      </c>
      <c r="F167" s="11" t="s">
        <v>57</v>
      </c>
      <c r="G167" s="12" t="s">
        <v>310</v>
      </c>
      <c r="H167" s="11" t="s">
        <v>171</v>
      </c>
      <c r="I167" s="11" t="s">
        <v>171</v>
      </c>
      <c r="J167" s="11" t="s">
        <v>47</v>
      </c>
      <c r="K167" s="11" t="s">
        <v>59</v>
      </c>
      <c r="L167" s="11" t="s">
        <v>74</v>
      </c>
      <c r="M167" s="11" t="s">
        <v>60</v>
      </c>
      <c r="N167" s="11" t="s">
        <v>51</v>
      </c>
      <c r="O167" s="13" t="str">
        <f aca="false">IF(AND(R167&gt;600,Q167&gt;20000),"OBEDECE",IF(AND(R167&gt;300,Q167&gt;=10000,Q167&lt;=20000),"OBEDECE",IF(AND(R167&gt;150,Q167&gt;=5000,Q167&lt;=9999),"OBEDECE",IF(AND(R167&gt;60,Q167&gt;=2000,Q167&lt;=4999),"OBEDECE",IF(AND(R167&gt;30,Q167&gt;=1000,Q167&lt;=1999),"OBEDECE",IF(AND(R167&lt;=29,Q167&lt;=1000),"OBEDECE","NÃO OBEDECE"))))))</f>
        <v>NÃO OBEDECE</v>
      </c>
      <c r="P167" s="3" t="s">
        <v>62</v>
      </c>
      <c r="Q167" s="4" t="n">
        <v>20521</v>
      </c>
      <c r="R167" s="4" t="n">
        <v>248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4" t="n">
        <v>0</v>
      </c>
      <c r="AC167" s="14" t="n">
        <v>0</v>
      </c>
      <c r="AD167" s="14" t="n">
        <v>0</v>
      </c>
      <c r="AE167" s="14" t="n">
        <v>0</v>
      </c>
      <c r="AF167" s="14" t="n">
        <v>0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</v>
      </c>
      <c r="AM167" s="14" t="n">
        <v>0</v>
      </c>
    </row>
    <row r="168" customFormat="false" ht="15" hidden="false" customHeight="false" outlineLevel="0" collapsed="false">
      <c r="A168" s="11" t="s">
        <v>311</v>
      </c>
      <c r="B168" s="11" t="s">
        <v>40</v>
      </c>
      <c r="C168" s="11" t="s">
        <v>66</v>
      </c>
      <c r="D168" s="11" t="s">
        <v>42</v>
      </c>
      <c r="E168" s="11" t="s">
        <v>118</v>
      </c>
      <c r="F168" s="11" t="s">
        <v>57</v>
      </c>
      <c r="G168" s="12" t="s">
        <v>112</v>
      </c>
      <c r="H168" s="11" t="s">
        <v>171</v>
      </c>
      <c r="I168" s="11" t="s">
        <v>171</v>
      </c>
      <c r="J168" s="11" t="s">
        <v>47</v>
      </c>
      <c r="K168" s="11" t="s">
        <v>59</v>
      </c>
      <c r="L168" s="11" t="s">
        <v>74</v>
      </c>
      <c r="M168" s="11" t="s">
        <v>60</v>
      </c>
      <c r="N168" s="11" t="s">
        <v>51</v>
      </c>
      <c r="O168" s="13" t="str">
        <f aca="false">IF(AND(R168&gt;600,Q168&gt;20000),"OBEDECE",IF(AND(R168&gt;300,Q168&gt;=10000,Q168&lt;=20000),"OBEDECE",IF(AND(R168&gt;150,Q168&gt;=5000,Q168&lt;=9999),"OBEDECE",IF(AND(R168&gt;60,Q168&gt;=2000,Q168&lt;=4999),"OBEDECE",IF(AND(R168&gt;30,Q168&gt;=1000,Q168&lt;=1999),"OBEDECE",IF(AND(R168&lt;=29,Q168&lt;=1000),"OBEDECE","NÃO OBEDECE"))))))</f>
        <v>NÃO OBEDECE</v>
      </c>
      <c r="P168" s="3" t="s">
        <v>68</v>
      </c>
      <c r="Q168" s="4" t="n">
        <v>27177</v>
      </c>
      <c r="R168" s="4" t="n">
        <v>246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2</v>
      </c>
      <c r="Y168" s="14" t="n">
        <v>0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</v>
      </c>
      <c r="AE168" s="14" t="n">
        <v>0</v>
      </c>
      <c r="AF168" s="14" t="n">
        <v>0</v>
      </c>
      <c r="AG168" s="14" t="n">
        <v>0</v>
      </c>
      <c r="AH168" s="14" t="n">
        <v>0</v>
      </c>
      <c r="AI168" s="14" t="n">
        <v>0</v>
      </c>
      <c r="AJ168" s="14" t="n">
        <v>0</v>
      </c>
      <c r="AK168" s="14" t="n">
        <v>0</v>
      </c>
      <c r="AL168" s="14" t="n">
        <v>0</v>
      </c>
      <c r="AM168" s="14" t="n">
        <v>0</v>
      </c>
    </row>
    <row r="169" customFormat="false" ht="15" hidden="false" customHeight="false" outlineLevel="0" collapsed="false">
      <c r="A169" s="11" t="s">
        <v>312</v>
      </c>
      <c r="B169" s="11" t="s">
        <v>54</v>
      </c>
      <c r="C169" s="11" t="s">
        <v>41</v>
      </c>
      <c r="D169" s="11" t="s">
        <v>55</v>
      </c>
      <c r="E169" s="11" t="s">
        <v>118</v>
      </c>
      <c r="F169" s="11" t="s">
        <v>57</v>
      </c>
      <c r="G169" s="15" t="s">
        <v>259</v>
      </c>
      <c r="H169" s="11" t="s">
        <v>171</v>
      </c>
      <c r="I169" s="11" t="s">
        <v>171</v>
      </c>
      <c r="J169" s="11" t="s">
        <v>47</v>
      </c>
      <c r="K169" s="11" t="s">
        <v>59</v>
      </c>
      <c r="L169" s="11" t="s">
        <v>135</v>
      </c>
      <c r="M169" s="11" t="s">
        <v>60</v>
      </c>
      <c r="N169" s="11" t="s">
        <v>51</v>
      </c>
      <c r="O169" s="13" t="str">
        <f aca="false">IF(AND(R169&gt;600,Q169&gt;20000),"OBEDECE",IF(AND(R169&gt;300,Q169&gt;=10000,Q169&lt;=20000),"OBEDECE",IF(AND(R169&gt;150,Q169&gt;=5000,Q169&lt;=9999),"OBEDECE",IF(AND(R169&gt;60,Q169&gt;=2000,Q169&lt;=4999),"OBEDECE",IF(AND(R169&gt;30,Q169&gt;=1000,Q169&lt;=1999),"OBEDECE",IF(AND(R169&lt;=29,Q169&lt;=1000),"OBEDECE","NÃO OBEDECE"))))))</f>
        <v>NÃO OBEDECE</v>
      </c>
      <c r="P169" s="3" t="s">
        <v>68</v>
      </c>
      <c r="Q169" s="4" t="n">
        <v>35658</v>
      </c>
      <c r="R169" s="4" t="n">
        <v>235</v>
      </c>
      <c r="S169" s="14" t="n">
        <v>0</v>
      </c>
      <c r="T169" s="14" t="n">
        <v>1</v>
      </c>
      <c r="U169" s="14" t="n">
        <v>0</v>
      </c>
      <c r="V169" s="14" t="n">
        <v>1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</row>
    <row r="170" customFormat="false" ht="15" hidden="false" customHeight="false" outlineLevel="0" collapsed="false">
      <c r="A170" s="11" t="s">
        <v>313</v>
      </c>
      <c r="B170" s="11" t="s">
        <v>40</v>
      </c>
      <c r="C170" s="11" t="s">
        <v>66</v>
      </c>
      <c r="D170" s="11" t="s">
        <v>42</v>
      </c>
      <c r="E170" s="11" t="s">
        <v>118</v>
      </c>
      <c r="F170" s="11" t="s">
        <v>57</v>
      </c>
      <c r="G170" s="12" t="s">
        <v>257</v>
      </c>
      <c r="H170" s="11" t="s">
        <v>171</v>
      </c>
      <c r="I170" s="11" t="s">
        <v>171</v>
      </c>
      <c r="J170" s="11" t="s">
        <v>47</v>
      </c>
      <c r="K170" s="11" t="s">
        <v>59</v>
      </c>
      <c r="L170" s="11" t="s">
        <v>135</v>
      </c>
      <c r="M170" s="11" t="s">
        <v>60</v>
      </c>
      <c r="N170" s="11" t="s">
        <v>51</v>
      </c>
      <c r="O170" s="13" t="str">
        <f aca="false">IF(AND(R170&gt;600,Q170&gt;20000),"OBEDECE",IF(AND(R170&gt;300,Q170&gt;=10000,Q170&lt;=20000),"OBEDECE",IF(AND(R170&gt;150,Q170&gt;=5000,Q170&lt;=9999),"OBEDECE",IF(AND(R170&gt;60,Q170&gt;=2000,Q170&lt;=4999),"OBEDECE",IF(AND(R170&gt;30,Q170&gt;=1000,Q170&lt;=1999),"OBEDECE",IF(AND(R170&lt;=29,Q170&lt;=1000),"OBEDECE","NÃO OBEDECE"))))))</f>
        <v>NÃO OBEDECE</v>
      </c>
      <c r="P170" s="3" t="s">
        <v>68</v>
      </c>
      <c r="Q170" s="4" t="n">
        <v>44022</v>
      </c>
      <c r="R170" s="4" t="n">
        <v>337</v>
      </c>
      <c r="S170" s="14" t="n">
        <v>0</v>
      </c>
      <c r="T170" s="14" t="n">
        <v>0</v>
      </c>
      <c r="U170" s="14" t="n">
        <v>0</v>
      </c>
      <c r="V170" s="14" t="n">
        <v>1</v>
      </c>
      <c r="W170" s="14" t="n">
        <v>0</v>
      </c>
      <c r="X170" s="14" t="n">
        <v>0</v>
      </c>
      <c r="Y170" s="14" t="n">
        <v>0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0</v>
      </c>
      <c r="AE170" s="14" t="n">
        <v>0</v>
      </c>
      <c r="AF170" s="14" t="n">
        <v>0</v>
      </c>
      <c r="AG170" s="14" t="n">
        <v>0</v>
      </c>
      <c r="AH170" s="14" t="n">
        <v>0</v>
      </c>
      <c r="AI170" s="14" t="n">
        <v>0</v>
      </c>
      <c r="AJ170" s="14" t="n">
        <v>0</v>
      </c>
      <c r="AK170" s="14" t="n">
        <v>0</v>
      </c>
      <c r="AL170" s="14" t="n">
        <v>0</v>
      </c>
      <c r="AM170" s="14" t="n">
        <v>0</v>
      </c>
    </row>
    <row r="171" customFormat="false" ht="15" hidden="true" customHeight="false" outlineLevel="0" collapsed="false">
      <c r="A171" s="11" t="s">
        <v>314</v>
      </c>
      <c r="B171" s="11" t="s">
        <v>54</v>
      </c>
      <c r="C171" s="11" t="s">
        <v>66</v>
      </c>
      <c r="D171" s="11" t="s">
        <v>55</v>
      </c>
      <c r="E171" s="11" t="s">
        <v>43</v>
      </c>
      <c r="F171" s="11" t="s">
        <v>44</v>
      </c>
      <c r="G171" s="12"/>
      <c r="H171" s="11" t="s">
        <v>171</v>
      </c>
      <c r="I171" s="11" t="s">
        <v>47</v>
      </c>
      <c r="J171" s="11" t="s">
        <v>47</v>
      </c>
      <c r="K171" s="11" t="s">
        <v>48</v>
      </c>
      <c r="L171" s="11" t="s">
        <v>74</v>
      </c>
      <c r="M171" s="11" t="s">
        <v>60</v>
      </c>
      <c r="N171" s="11" t="s">
        <v>61</v>
      </c>
      <c r="O171" s="13" t="str">
        <f aca="false">IF(AND(R171&gt;600,Q171&gt;20000),"OBEDECE",IF(AND(R171&gt;300,Q171&gt;=10000,Q171&lt;=20000),"OBEDECE",IF(AND(R171&gt;150,Q171&gt;=5000,Q171&lt;=9999),"OBEDECE",IF(AND(R171&gt;60,Q171&gt;=2000,Q171&lt;=4999),"OBEDECE",IF(AND(R171&gt;30,Q171&gt;=1000,Q171&lt;=1999),"OBEDECE",IF(AND(R171&lt;=29,Q171&lt;=1000),"OBEDECE","NÃO OBEDECE"))))))</f>
        <v>NÃO OBEDECE</v>
      </c>
      <c r="P171" s="3" t="s">
        <v>62</v>
      </c>
      <c r="Q171" s="4" t="n">
        <v>10369</v>
      </c>
      <c r="R171" s="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</row>
    <row r="172" customFormat="false" ht="15" hidden="true" customHeight="false" outlineLevel="0" collapsed="false">
      <c r="A172" s="11" t="s">
        <v>315</v>
      </c>
      <c r="B172" s="11" t="s">
        <v>40</v>
      </c>
      <c r="C172" s="11" t="s">
        <v>66</v>
      </c>
      <c r="D172" s="11" t="s">
        <v>42</v>
      </c>
      <c r="E172" s="11" t="s">
        <v>56</v>
      </c>
      <c r="F172" s="11" t="s">
        <v>57</v>
      </c>
      <c r="G172" s="12"/>
      <c r="H172" s="11" t="s">
        <v>171</v>
      </c>
      <c r="I172" s="11" t="s">
        <v>47</v>
      </c>
      <c r="J172" s="11" t="s">
        <v>47</v>
      </c>
      <c r="K172" s="11" t="s">
        <v>48</v>
      </c>
      <c r="L172" s="11" t="s">
        <v>74</v>
      </c>
      <c r="M172" s="11" t="s">
        <v>60</v>
      </c>
      <c r="N172" s="11" t="s">
        <v>71</v>
      </c>
      <c r="O172" s="13" t="str">
        <f aca="false">IF(AND(R172&gt;600,Q172&gt;20000),"OBEDECE",IF(AND(R172&gt;300,Q172&gt;=10000,Q172&lt;=20000),"OBEDECE",IF(AND(R172&gt;150,Q172&gt;=5000,Q172&lt;=9999),"OBEDECE",IF(AND(R172&gt;60,Q172&gt;=2000,Q172&lt;=4999),"OBEDECE",IF(AND(R172&gt;30,Q172&gt;=1000,Q172&lt;=1999),"OBEDECE",IF(AND(R172&lt;=29,Q172&lt;=1000),"OBEDECE","NÃO OBEDECE"))))))</f>
        <v>NÃO OBEDECE</v>
      </c>
      <c r="P172" s="3" t="s">
        <v>62</v>
      </c>
      <c r="Q172" s="4" t="n">
        <v>6578</v>
      </c>
      <c r="R172" s="4" t="n">
        <v>0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</v>
      </c>
      <c r="AE172" s="14" t="n">
        <v>0</v>
      </c>
      <c r="AF172" s="14" t="n">
        <v>0</v>
      </c>
      <c r="AG172" s="14" t="n">
        <v>0</v>
      </c>
      <c r="AH172" s="14" t="n">
        <v>0</v>
      </c>
      <c r="AI172" s="14" t="n">
        <v>0</v>
      </c>
      <c r="AJ172" s="14" t="n">
        <v>0</v>
      </c>
      <c r="AK172" s="14" t="n">
        <v>0</v>
      </c>
      <c r="AL172" s="14" t="n">
        <v>0</v>
      </c>
      <c r="AM172" s="14" t="n">
        <v>0</v>
      </c>
    </row>
    <row r="173" customFormat="false" ht="15" hidden="false" customHeight="false" outlineLevel="0" collapsed="false">
      <c r="A173" s="11" t="s">
        <v>316</v>
      </c>
      <c r="B173" s="11" t="s">
        <v>54</v>
      </c>
      <c r="C173" s="11" t="s">
        <v>41</v>
      </c>
      <c r="D173" s="11" t="s">
        <v>42</v>
      </c>
      <c r="E173" s="11" t="s">
        <v>56</v>
      </c>
      <c r="F173" s="11" t="s">
        <v>57</v>
      </c>
      <c r="G173" s="12" t="s">
        <v>317</v>
      </c>
      <c r="H173" s="11" t="s">
        <v>171</v>
      </c>
      <c r="I173" s="11" t="s">
        <v>47</v>
      </c>
      <c r="J173" s="11" t="s">
        <v>47</v>
      </c>
      <c r="K173" s="11" t="s">
        <v>48</v>
      </c>
      <c r="L173" s="11" t="s">
        <v>135</v>
      </c>
      <c r="M173" s="11" t="s">
        <v>60</v>
      </c>
      <c r="N173" s="11" t="s">
        <v>123</v>
      </c>
      <c r="O173" s="13" t="str">
        <f aca="false">IF(AND(R173&gt;600,Q173&gt;20000),"OBEDECE",IF(AND(R173&gt;300,Q173&gt;=10000,Q173&lt;=20000),"OBEDECE",IF(AND(R173&gt;150,Q173&gt;=5000,Q173&lt;=9999),"OBEDECE",IF(AND(R173&gt;60,Q173&gt;=2000,Q173&lt;=4999),"OBEDECE",IF(AND(R173&gt;30,Q173&gt;=1000,Q173&lt;=1999),"OBEDECE",IF(AND(R173&lt;=29,Q173&lt;=1000),"OBEDECE","NÃO OBEDECE"))))))</f>
        <v>OBEDECE</v>
      </c>
      <c r="P173" s="3" t="s">
        <v>62</v>
      </c>
      <c r="Q173" s="4" t="n">
        <v>3132</v>
      </c>
      <c r="R173" s="4" t="n">
        <v>101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</row>
    <row r="174" customFormat="false" ht="15" hidden="false" customHeight="false" outlineLevel="0" collapsed="false">
      <c r="A174" s="11" t="s">
        <v>318</v>
      </c>
      <c r="B174" s="11" t="s">
        <v>54</v>
      </c>
      <c r="C174" s="11" t="s">
        <v>41</v>
      </c>
      <c r="D174" s="11" t="s">
        <v>55</v>
      </c>
      <c r="E174" s="11" t="s">
        <v>56</v>
      </c>
      <c r="F174" s="11" t="s">
        <v>57</v>
      </c>
      <c r="G174" s="12" t="s">
        <v>122</v>
      </c>
      <c r="H174" s="11" t="s">
        <v>171</v>
      </c>
      <c r="I174" s="11" t="s">
        <v>47</v>
      </c>
      <c r="J174" s="11" t="s">
        <v>47</v>
      </c>
      <c r="K174" s="11" t="s">
        <v>48</v>
      </c>
      <c r="L174" s="11" t="s">
        <v>135</v>
      </c>
      <c r="M174" s="11" t="s">
        <v>60</v>
      </c>
      <c r="N174" s="11" t="s">
        <v>123</v>
      </c>
      <c r="O174" s="13" t="str">
        <f aca="false">IF(AND(R174&gt;600,Q174&gt;20000),"OBEDECE",IF(AND(R174&gt;300,Q174&gt;=10000,Q174&lt;=20000),"OBEDECE",IF(AND(R174&gt;150,Q174&gt;=5000,Q174&lt;=9999),"OBEDECE",IF(AND(R174&gt;60,Q174&gt;=2000,Q174&lt;=4999),"OBEDECE",IF(AND(R174&gt;30,Q174&gt;=1000,Q174&lt;=1999),"OBEDECE",IF(AND(R174&lt;=29,Q174&lt;=1000),"OBEDECE","NÃO OBEDECE"))))))</f>
        <v>OBEDECE</v>
      </c>
      <c r="P174" s="3" t="s">
        <v>62</v>
      </c>
      <c r="Q174" s="4" t="n">
        <v>3755</v>
      </c>
      <c r="R174" s="4" t="n">
        <v>90</v>
      </c>
      <c r="S174" s="14" t="n">
        <v>0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14" t="n">
        <v>0</v>
      </c>
      <c r="AB174" s="14" t="n">
        <v>0</v>
      </c>
      <c r="AC174" s="14" t="n">
        <v>0</v>
      </c>
      <c r="AD174" s="14" t="n">
        <v>0</v>
      </c>
      <c r="AE174" s="14" t="n">
        <v>0</v>
      </c>
      <c r="AF174" s="14" t="n">
        <v>0</v>
      </c>
      <c r="AG174" s="14" t="n">
        <v>0</v>
      </c>
      <c r="AH174" s="14" t="n">
        <v>0</v>
      </c>
      <c r="AI174" s="14" t="n">
        <v>0</v>
      </c>
      <c r="AJ174" s="14" t="n">
        <v>0</v>
      </c>
      <c r="AK174" s="14" t="n">
        <v>0</v>
      </c>
      <c r="AL174" s="14" t="n">
        <v>0</v>
      </c>
      <c r="AM174" s="14" t="n">
        <v>0</v>
      </c>
    </row>
    <row r="175" customFormat="false" ht="15" hidden="false" customHeight="false" outlineLevel="0" collapsed="false">
      <c r="A175" s="11" t="s">
        <v>319</v>
      </c>
      <c r="B175" s="11" t="s">
        <v>40</v>
      </c>
      <c r="C175" s="11" t="s">
        <v>66</v>
      </c>
      <c r="D175" s="11" t="s">
        <v>42</v>
      </c>
      <c r="E175" s="11" t="s">
        <v>56</v>
      </c>
      <c r="F175" s="11" t="s">
        <v>57</v>
      </c>
      <c r="G175" s="12" t="s">
        <v>116</v>
      </c>
      <c r="H175" s="11" t="s">
        <v>171</v>
      </c>
      <c r="I175" s="11" t="s">
        <v>47</v>
      </c>
      <c r="J175" s="11" t="s">
        <v>47</v>
      </c>
      <c r="K175" s="11" t="s">
        <v>48</v>
      </c>
      <c r="L175" s="11" t="s">
        <v>135</v>
      </c>
      <c r="M175" s="11" t="s">
        <v>60</v>
      </c>
      <c r="N175" s="11" t="s">
        <v>123</v>
      </c>
      <c r="O175" s="13" t="str">
        <f aca="false">IF(AND(R175&gt;600,Q175&gt;20000),"OBEDECE",IF(AND(R175&gt;300,Q175&gt;=10000,Q175&lt;=20000),"OBEDECE",IF(AND(R175&gt;150,Q175&gt;=5000,Q175&lt;=9999),"OBEDECE",IF(AND(R175&gt;60,Q175&gt;=2000,Q175&lt;=4999),"OBEDECE",IF(AND(R175&gt;30,Q175&gt;=1000,Q175&lt;=1999),"OBEDECE",IF(AND(R175&lt;=29,Q175&lt;=1000),"OBEDECE","NÃO OBEDECE"))))))</f>
        <v>OBEDECE</v>
      </c>
      <c r="P175" s="3" t="s">
        <v>62</v>
      </c>
      <c r="Q175" s="4" t="n">
        <v>4106</v>
      </c>
      <c r="R175" s="4" t="n">
        <v>75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</v>
      </c>
      <c r="AM175" s="14" t="n">
        <v>0</v>
      </c>
    </row>
    <row r="176" customFormat="false" ht="15" hidden="false" customHeight="false" outlineLevel="0" collapsed="false">
      <c r="A176" s="11" t="s">
        <v>320</v>
      </c>
      <c r="B176" s="11" t="s">
        <v>54</v>
      </c>
      <c r="C176" s="11" t="s">
        <v>41</v>
      </c>
      <c r="D176" s="11" t="s">
        <v>55</v>
      </c>
      <c r="E176" s="11" t="s">
        <v>118</v>
      </c>
      <c r="F176" s="11" t="s">
        <v>57</v>
      </c>
      <c r="G176" s="12" t="s">
        <v>321</v>
      </c>
      <c r="H176" s="11" t="s">
        <v>171</v>
      </c>
      <c r="I176" s="11" t="s">
        <v>171</v>
      </c>
      <c r="J176" s="11" t="s">
        <v>47</v>
      </c>
      <c r="K176" s="11" t="s">
        <v>48</v>
      </c>
      <c r="L176" s="11" t="s">
        <v>135</v>
      </c>
      <c r="M176" s="11" t="s">
        <v>60</v>
      </c>
      <c r="N176" s="11" t="s">
        <v>71</v>
      </c>
      <c r="O176" s="13" t="str">
        <f aca="false">IF(AND(R176&gt;600,Q176&gt;20000),"OBEDECE",IF(AND(R176&gt;300,Q176&gt;=10000,Q176&lt;=20000),"OBEDECE",IF(AND(R176&gt;150,Q176&gt;=5000,Q176&lt;=9999),"OBEDECE",IF(AND(R176&gt;60,Q176&gt;=2000,Q176&lt;=4999),"OBEDECE",IF(AND(R176&gt;30,Q176&gt;=1000,Q176&lt;=1999),"OBEDECE",IF(AND(R176&lt;=29,Q176&lt;=1000),"OBEDECE","NÃO OBEDECE"))))))</f>
        <v>OBEDECE</v>
      </c>
      <c r="P176" s="3" t="s">
        <v>62</v>
      </c>
      <c r="Q176" s="4" t="n">
        <v>6465</v>
      </c>
      <c r="R176" s="4" t="n">
        <v>228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  <c r="AE176" s="14" t="n">
        <v>0</v>
      </c>
      <c r="AF176" s="14" t="n">
        <v>0</v>
      </c>
      <c r="AG176" s="14" t="n">
        <v>0</v>
      </c>
      <c r="AH176" s="14" t="n">
        <v>0</v>
      </c>
      <c r="AI176" s="14" t="n">
        <v>0</v>
      </c>
      <c r="AJ176" s="14" t="n">
        <v>0</v>
      </c>
      <c r="AK176" s="14" t="n">
        <v>0</v>
      </c>
      <c r="AL176" s="14" t="n">
        <v>0</v>
      </c>
      <c r="AM176" s="14" t="n">
        <v>0</v>
      </c>
    </row>
    <row r="177" customFormat="false" ht="15" hidden="false" customHeight="false" outlineLevel="0" collapsed="false">
      <c r="A177" s="11" t="s">
        <v>322</v>
      </c>
      <c r="B177" s="11" t="s">
        <v>54</v>
      </c>
      <c r="C177" s="11" t="s">
        <v>41</v>
      </c>
      <c r="D177" s="11" t="s">
        <v>55</v>
      </c>
      <c r="E177" s="11" t="s">
        <v>118</v>
      </c>
      <c r="F177" s="11" t="s">
        <v>57</v>
      </c>
      <c r="G177" s="12" t="s">
        <v>323</v>
      </c>
      <c r="H177" s="11" t="s">
        <v>171</v>
      </c>
      <c r="I177" s="11" t="s">
        <v>171</v>
      </c>
      <c r="J177" s="11" t="s">
        <v>47</v>
      </c>
      <c r="K177" s="11" t="s">
        <v>48</v>
      </c>
      <c r="L177" s="11" t="s">
        <v>49</v>
      </c>
      <c r="M177" s="11" t="s">
        <v>60</v>
      </c>
      <c r="N177" s="11" t="s">
        <v>61</v>
      </c>
      <c r="O177" s="13" t="str">
        <f aca="false">IF(AND(R177&gt;600,Q177&gt;20000),"OBEDECE",IF(AND(R177&gt;300,Q177&gt;=10000,Q177&lt;=20000),"OBEDECE",IF(AND(R177&gt;150,Q177&gt;=5000,Q177&lt;=9999),"OBEDECE",IF(AND(R177&gt;60,Q177&gt;=2000,Q177&lt;=4999),"OBEDECE",IF(AND(R177&gt;30,Q177&gt;=1000,Q177&lt;=1999),"OBEDECE",IF(AND(R177&lt;=29,Q177&lt;=1000),"OBEDECE","NÃO OBEDECE"))))))</f>
        <v>NÃO OBEDECE</v>
      </c>
      <c r="P177" s="3" t="s">
        <v>62</v>
      </c>
      <c r="Q177" s="4" t="n">
        <v>10446</v>
      </c>
      <c r="R177" s="4" t="n">
        <v>67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</row>
    <row r="178" customFormat="false" ht="15" hidden="false" customHeight="false" outlineLevel="0" collapsed="false">
      <c r="A178" s="11" t="s">
        <v>324</v>
      </c>
      <c r="B178" s="11" t="s">
        <v>54</v>
      </c>
      <c r="C178" s="11" t="s">
        <v>66</v>
      </c>
      <c r="D178" s="11" t="s">
        <v>42</v>
      </c>
      <c r="E178" s="11" t="s">
        <v>118</v>
      </c>
      <c r="F178" s="11" t="s">
        <v>57</v>
      </c>
      <c r="G178" s="12" t="s">
        <v>166</v>
      </c>
      <c r="H178" s="11" t="s">
        <v>171</v>
      </c>
      <c r="I178" s="11" t="s">
        <v>171</v>
      </c>
      <c r="J178" s="11" t="s">
        <v>47</v>
      </c>
      <c r="K178" s="11" t="s">
        <v>48</v>
      </c>
      <c r="L178" s="11" t="s">
        <v>135</v>
      </c>
      <c r="M178" s="11" t="s">
        <v>60</v>
      </c>
      <c r="N178" s="11" t="s">
        <v>71</v>
      </c>
      <c r="O178" s="13" t="str">
        <f aca="false">IF(AND(R178&gt;600,Q178&gt;20000),"OBEDECE",IF(AND(R178&gt;300,Q178&gt;=10000,Q178&lt;=20000),"OBEDECE",IF(AND(R178&gt;150,Q178&gt;=5000,Q178&lt;=9999),"OBEDECE",IF(AND(R178&gt;60,Q178&gt;=2000,Q178&lt;=4999),"OBEDECE",IF(AND(R178&gt;30,Q178&gt;=1000,Q178&lt;=1999),"OBEDECE",IF(AND(R178&lt;=29,Q178&lt;=1000),"OBEDECE","NÃO OBEDECE"))))))</f>
        <v>NÃO OBEDECE</v>
      </c>
      <c r="P178" s="3" t="s">
        <v>62</v>
      </c>
      <c r="Q178" s="4" t="n">
        <v>8044</v>
      </c>
      <c r="R178" s="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14" t="n">
        <v>0</v>
      </c>
      <c r="AB178" s="14" t="n">
        <v>0</v>
      </c>
      <c r="AC178" s="14" t="n">
        <v>0</v>
      </c>
      <c r="AD178" s="14" t="n">
        <v>0</v>
      </c>
      <c r="AE178" s="14" t="n">
        <v>0</v>
      </c>
      <c r="AF178" s="14" t="n">
        <v>0</v>
      </c>
      <c r="AG178" s="14" t="n">
        <v>0</v>
      </c>
      <c r="AH178" s="14" t="n">
        <v>0</v>
      </c>
      <c r="AI178" s="14" t="n">
        <v>0</v>
      </c>
      <c r="AJ178" s="14" t="n">
        <v>0</v>
      </c>
      <c r="AK178" s="14" t="n">
        <v>0</v>
      </c>
      <c r="AL178" s="14" t="n">
        <v>0</v>
      </c>
      <c r="AM178" s="14" t="n">
        <v>0</v>
      </c>
    </row>
    <row r="179" customFormat="false" ht="15" hidden="false" customHeight="false" outlineLevel="0" collapsed="false">
      <c r="A179" s="11" t="s">
        <v>325</v>
      </c>
      <c r="B179" s="11" t="s">
        <v>54</v>
      </c>
      <c r="C179" s="11" t="s">
        <v>66</v>
      </c>
      <c r="D179" s="11" t="s">
        <v>55</v>
      </c>
      <c r="E179" s="11" t="s">
        <v>118</v>
      </c>
      <c r="F179" s="11" t="s">
        <v>57</v>
      </c>
      <c r="G179" s="12" t="s">
        <v>276</v>
      </c>
      <c r="H179" s="11" t="s">
        <v>171</v>
      </c>
      <c r="I179" s="11" t="s">
        <v>171</v>
      </c>
      <c r="J179" s="11" t="s">
        <v>47</v>
      </c>
      <c r="K179" s="11" t="s">
        <v>48</v>
      </c>
      <c r="L179" s="11" t="s">
        <v>135</v>
      </c>
      <c r="M179" s="11" t="s">
        <v>60</v>
      </c>
      <c r="N179" s="11" t="s">
        <v>123</v>
      </c>
      <c r="O179" s="13" t="str">
        <f aca="false">IF(AND(R179&gt;600,Q179&gt;20000),"OBEDECE",IF(AND(R179&gt;300,Q179&gt;=10000,Q179&lt;=20000),"OBEDECE",IF(AND(R179&gt;150,Q179&gt;=5000,Q179&lt;=9999),"OBEDECE",IF(AND(R179&gt;60,Q179&gt;=2000,Q179&lt;=4999),"OBEDECE",IF(AND(R179&gt;30,Q179&gt;=1000,Q179&lt;=1999),"OBEDECE",IF(AND(R179&lt;=29,Q179&lt;=1000),"OBEDECE","NÃO OBEDECE"))))))</f>
        <v>NÃO OBEDECE</v>
      </c>
      <c r="P179" s="3" t="s">
        <v>62</v>
      </c>
      <c r="Q179" s="4" t="n">
        <v>4930</v>
      </c>
      <c r="R179" s="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</row>
    <row r="180" customFormat="false" ht="15" hidden="false" customHeight="false" outlineLevel="0" collapsed="false">
      <c r="A180" s="11" t="s">
        <v>326</v>
      </c>
      <c r="B180" s="11" t="s">
        <v>54</v>
      </c>
      <c r="C180" s="11" t="s">
        <v>41</v>
      </c>
      <c r="D180" s="11" t="s">
        <v>42</v>
      </c>
      <c r="E180" s="11" t="s">
        <v>118</v>
      </c>
      <c r="F180" s="11" t="s">
        <v>57</v>
      </c>
      <c r="G180" s="12" t="s">
        <v>323</v>
      </c>
      <c r="H180" s="11" t="s">
        <v>171</v>
      </c>
      <c r="I180" s="11" t="s">
        <v>171</v>
      </c>
      <c r="J180" s="11" t="s">
        <v>47</v>
      </c>
      <c r="K180" s="11" t="s">
        <v>48</v>
      </c>
      <c r="L180" s="11" t="s">
        <v>49</v>
      </c>
      <c r="M180" s="11" t="s">
        <v>60</v>
      </c>
      <c r="N180" s="11" t="s">
        <v>71</v>
      </c>
      <c r="O180" s="13" t="str">
        <f aca="false">IF(AND(R180&gt;600,Q180&gt;20000),"OBEDECE",IF(AND(R180&gt;300,Q180&gt;=10000,Q180&lt;=20000),"OBEDECE",IF(AND(R180&gt;150,Q180&gt;=5000,Q180&lt;=9999),"OBEDECE",IF(AND(R180&gt;60,Q180&gt;=2000,Q180&lt;=4999),"OBEDECE",IF(AND(R180&gt;30,Q180&gt;=1000,Q180&lt;=1999),"OBEDECE",IF(AND(R180&lt;=29,Q180&lt;=1000),"OBEDECE","NÃO OBEDECE"))))))</f>
        <v>OBEDECE</v>
      </c>
      <c r="P180" s="3" t="s">
        <v>68</v>
      </c>
      <c r="Q180" s="4" t="n">
        <v>8299</v>
      </c>
      <c r="R180" s="4" t="n">
        <v>208</v>
      </c>
      <c r="S180" s="14" t="n">
        <v>0</v>
      </c>
      <c r="T180" s="14" t="n">
        <v>1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4" t="n">
        <v>0</v>
      </c>
      <c r="AC180" s="14" t="n">
        <v>0</v>
      </c>
      <c r="AD180" s="14" t="n">
        <v>0</v>
      </c>
      <c r="AE180" s="14" t="n">
        <v>0</v>
      </c>
      <c r="AF180" s="14" t="n">
        <v>0</v>
      </c>
      <c r="AG180" s="14" t="n">
        <v>0</v>
      </c>
      <c r="AH180" s="14" t="n">
        <v>0</v>
      </c>
      <c r="AI180" s="14" t="n">
        <v>0</v>
      </c>
      <c r="AJ180" s="14" t="n">
        <v>0</v>
      </c>
      <c r="AK180" s="14" t="n">
        <v>0</v>
      </c>
      <c r="AL180" s="14" t="n">
        <v>0</v>
      </c>
      <c r="AM180" s="14" t="n">
        <v>0</v>
      </c>
    </row>
    <row r="181" customFormat="false" ht="15" hidden="true" customHeight="false" outlineLevel="0" collapsed="false">
      <c r="A181" s="11" t="s">
        <v>327</v>
      </c>
      <c r="B181" s="11" t="s">
        <v>54</v>
      </c>
      <c r="C181" s="11" t="s">
        <v>41</v>
      </c>
      <c r="D181" s="11" t="s">
        <v>55</v>
      </c>
      <c r="E181" s="11" t="s">
        <v>56</v>
      </c>
      <c r="F181" s="11" t="s">
        <v>57</v>
      </c>
      <c r="G181" s="12"/>
      <c r="H181" s="11" t="s">
        <v>171</v>
      </c>
      <c r="I181" s="11" t="s">
        <v>47</v>
      </c>
      <c r="J181" s="11" t="s">
        <v>47</v>
      </c>
      <c r="K181" s="11" t="s">
        <v>48</v>
      </c>
      <c r="L181" s="11" t="s">
        <v>135</v>
      </c>
      <c r="M181" s="11" t="s">
        <v>60</v>
      </c>
      <c r="N181" s="11" t="s">
        <v>123</v>
      </c>
      <c r="O181" s="13" t="str">
        <f aca="false">IF(AND(R181&gt;600,Q181&gt;20000),"OBEDECE",IF(AND(R181&gt;300,Q181&gt;=10000,Q181&lt;=20000),"OBEDECE",IF(AND(R181&gt;150,Q181&gt;=5000,Q181&lt;=9999),"OBEDECE",IF(AND(R181&gt;60,Q181&gt;=2000,Q181&lt;=4999),"OBEDECE",IF(AND(R181&gt;30,Q181&gt;=1000,Q181&lt;=1999),"OBEDECE",IF(AND(R181&lt;=29,Q181&lt;=1000),"OBEDECE","NÃO OBEDECE"))))))</f>
        <v>NÃO OBEDECE</v>
      </c>
      <c r="P181" s="3" t="s">
        <v>62</v>
      </c>
      <c r="Q181" s="4" t="n">
        <v>2410</v>
      </c>
      <c r="R181" s="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</row>
    <row r="182" customFormat="false" ht="15" hidden="false" customHeight="false" outlineLevel="0" collapsed="false">
      <c r="A182" s="10" t="s">
        <v>328</v>
      </c>
      <c r="B182" s="11" t="s">
        <v>54</v>
      </c>
      <c r="C182" s="11" t="s">
        <v>41</v>
      </c>
      <c r="D182" s="11" t="s">
        <v>42</v>
      </c>
      <c r="E182" s="11" t="s">
        <v>118</v>
      </c>
      <c r="F182" s="11" t="s">
        <v>57</v>
      </c>
      <c r="G182" s="12" t="s">
        <v>64</v>
      </c>
      <c r="H182" s="11" t="s">
        <v>171</v>
      </c>
      <c r="I182" s="11" t="s">
        <v>171</v>
      </c>
      <c r="J182" s="11" t="s">
        <v>46</v>
      </c>
      <c r="K182" s="11" t="s">
        <v>48</v>
      </c>
      <c r="L182" s="11" t="s">
        <v>135</v>
      </c>
      <c r="M182" s="11" t="s">
        <v>50</v>
      </c>
      <c r="N182" s="11" t="s">
        <v>51</v>
      </c>
      <c r="O182" s="13" t="str">
        <f aca="false">IF(AND(R182&gt;600,Q182&gt;20000),"OBEDECE",IF(AND(R182&gt;300,Q182&gt;=10000,Q182&lt;=20000),"OBEDECE",IF(AND(R182&gt;150,Q182&gt;=5000,Q182&lt;=9999),"OBEDECE",IF(AND(R182&gt;60,Q182&gt;=2000,Q182&lt;=4999),"OBEDECE",IF(AND(R182&gt;30,Q182&gt;=1000,Q182&lt;=1999),"OBEDECE",IF(AND(R182&lt;=29,Q182&lt;=1000),"OBEDECE","NÃO OBEDECE"))))))</f>
        <v>NÃO OBEDECE</v>
      </c>
      <c r="P182" s="3" t="s">
        <v>52</v>
      </c>
      <c r="Q182" s="4" t="n">
        <v>32762</v>
      </c>
      <c r="R182" s="4" t="n">
        <v>553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3</v>
      </c>
      <c r="Y182" s="14" t="n">
        <v>0</v>
      </c>
      <c r="Z182" s="14" t="n">
        <v>2</v>
      </c>
      <c r="AA182" s="14" t="n">
        <v>0</v>
      </c>
      <c r="AB182" s="14" t="n">
        <v>4</v>
      </c>
      <c r="AC182" s="14" t="n">
        <v>0</v>
      </c>
      <c r="AD182" s="14" t="n">
        <v>0</v>
      </c>
      <c r="AE182" s="14" t="n">
        <v>0</v>
      </c>
      <c r="AF182" s="14" t="n">
        <v>0</v>
      </c>
      <c r="AG182" s="14" t="n">
        <v>0</v>
      </c>
      <c r="AH182" s="14" t="n">
        <v>0</v>
      </c>
      <c r="AI182" s="14" t="n">
        <v>0</v>
      </c>
      <c r="AJ182" s="14" t="n">
        <v>0</v>
      </c>
      <c r="AK182" s="14" t="n">
        <v>1</v>
      </c>
      <c r="AL182" s="14" t="n">
        <v>0</v>
      </c>
      <c r="AM182" s="14" t="n">
        <v>0</v>
      </c>
    </row>
    <row r="183" customFormat="false" ht="15" hidden="false" customHeight="false" outlineLevel="0" collapsed="false">
      <c r="A183" s="11" t="s">
        <v>329</v>
      </c>
      <c r="B183" s="11" t="s">
        <v>54</v>
      </c>
      <c r="C183" s="11" t="s">
        <v>66</v>
      </c>
      <c r="D183" s="11" t="s">
        <v>42</v>
      </c>
      <c r="E183" s="11" t="s">
        <v>118</v>
      </c>
      <c r="F183" s="11" t="s">
        <v>57</v>
      </c>
      <c r="G183" s="12" t="s">
        <v>282</v>
      </c>
      <c r="H183" s="11" t="s">
        <v>171</v>
      </c>
      <c r="I183" s="11" t="s">
        <v>171</v>
      </c>
      <c r="J183" s="11" t="s">
        <v>47</v>
      </c>
      <c r="K183" s="11" t="s">
        <v>48</v>
      </c>
      <c r="L183" s="11" t="s">
        <v>49</v>
      </c>
      <c r="M183" s="11" t="s">
        <v>50</v>
      </c>
      <c r="N183" s="11" t="s">
        <v>71</v>
      </c>
      <c r="O183" s="13" t="str">
        <f aca="false">IF(AND(R183&gt;600,Q183&gt;20000),"OBEDECE",IF(AND(R183&gt;300,Q183&gt;=10000,Q183&lt;=20000),"OBEDECE",IF(AND(R183&gt;150,Q183&gt;=5000,Q183&lt;=9999),"OBEDECE",IF(AND(R183&gt;60,Q183&gt;=2000,Q183&lt;=4999),"OBEDECE",IF(AND(R183&gt;30,Q183&gt;=1000,Q183&lt;=1999),"OBEDECE",IF(AND(R183&lt;=29,Q183&lt;=1000),"OBEDECE","NÃO OBEDECE"))))))</f>
        <v>OBEDECE</v>
      </c>
      <c r="P183" s="3" t="s">
        <v>62</v>
      </c>
      <c r="Q183" s="4" t="n">
        <v>6799</v>
      </c>
      <c r="R183" s="4" t="n">
        <v>200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</row>
    <row r="184" customFormat="false" ht="15" hidden="false" customHeight="false" outlineLevel="0" collapsed="false">
      <c r="A184" s="10" t="s">
        <v>330</v>
      </c>
      <c r="B184" s="11" t="s">
        <v>40</v>
      </c>
      <c r="C184" s="11" t="s">
        <v>66</v>
      </c>
      <c r="D184" s="11" t="s">
        <v>55</v>
      </c>
      <c r="E184" s="11" t="s">
        <v>43</v>
      </c>
      <c r="F184" s="11" t="s">
        <v>44</v>
      </c>
      <c r="G184" s="12" t="s">
        <v>45</v>
      </c>
      <c r="H184" s="11" t="s">
        <v>171</v>
      </c>
      <c r="I184" s="11" t="s">
        <v>47</v>
      </c>
      <c r="J184" s="11" t="s">
        <v>171</v>
      </c>
      <c r="K184" s="11" t="s">
        <v>48</v>
      </c>
      <c r="L184" s="11" t="s">
        <v>49</v>
      </c>
      <c r="M184" s="11" t="s">
        <v>60</v>
      </c>
      <c r="N184" s="11" t="s">
        <v>61</v>
      </c>
      <c r="O184" s="13" t="str">
        <f aca="false">IF(AND(R184&gt;600,Q184&gt;20000),"OBEDECE",IF(AND(R184&gt;300,Q184&gt;=10000,Q184&lt;=20000),"OBEDECE",IF(AND(R184&gt;150,Q184&gt;=5000,Q184&lt;=9999),"OBEDECE",IF(AND(R184&gt;60,Q184&gt;=2000,Q184&lt;=4999),"OBEDECE",IF(AND(R184&gt;30,Q184&gt;=1000,Q184&lt;=1999),"OBEDECE",IF(AND(R184&lt;=29,Q184&lt;=1000),"OBEDECE","NÃO OBEDECE"))))))</f>
        <v>OBEDECE</v>
      </c>
      <c r="P184" s="3" t="s">
        <v>68</v>
      </c>
      <c r="Q184" s="4" t="n">
        <v>13337</v>
      </c>
      <c r="R184" s="4" t="n">
        <v>446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1</v>
      </c>
      <c r="Z184" s="14" t="n">
        <v>0</v>
      </c>
      <c r="AA184" s="14" t="n">
        <v>0</v>
      </c>
      <c r="AB184" s="14" t="n">
        <v>0</v>
      </c>
      <c r="AC184" s="14" t="n">
        <v>0</v>
      </c>
      <c r="AD184" s="14" t="n">
        <v>0</v>
      </c>
      <c r="AE184" s="14" t="n">
        <v>0</v>
      </c>
      <c r="AF184" s="14" t="n">
        <v>0</v>
      </c>
      <c r="AG184" s="14" t="n">
        <v>0</v>
      </c>
      <c r="AH184" s="14" t="n">
        <v>0</v>
      </c>
      <c r="AI184" s="14" t="n">
        <v>0</v>
      </c>
      <c r="AJ184" s="14" t="n">
        <v>0</v>
      </c>
      <c r="AK184" s="14" t="n">
        <v>0</v>
      </c>
      <c r="AL184" s="14" t="n">
        <v>0</v>
      </c>
      <c r="AM184" s="14" t="n">
        <v>0</v>
      </c>
    </row>
    <row r="185" customFormat="false" ht="15" hidden="false" customHeight="false" outlineLevel="0" collapsed="false">
      <c r="A185" s="10" t="s">
        <v>331</v>
      </c>
      <c r="B185" s="11" t="s">
        <v>40</v>
      </c>
      <c r="C185" s="11" t="s">
        <v>66</v>
      </c>
      <c r="D185" s="11" t="s">
        <v>42</v>
      </c>
      <c r="E185" s="11" t="s">
        <v>118</v>
      </c>
      <c r="F185" s="11" t="s">
        <v>57</v>
      </c>
      <c r="G185" s="12" t="s">
        <v>64</v>
      </c>
      <c r="H185" s="11" t="s">
        <v>171</v>
      </c>
      <c r="I185" s="11" t="s">
        <v>171</v>
      </c>
      <c r="J185" s="11" t="s">
        <v>171</v>
      </c>
      <c r="K185" s="11" t="s">
        <v>48</v>
      </c>
      <c r="L185" s="11" t="s">
        <v>49</v>
      </c>
      <c r="M185" s="11" t="s">
        <v>60</v>
      </c>
      <c r="N185" s="11" t="s">
        <v>51</v>
      </c>
      <c r="O185" s="13" t="str">
        <f aca="false">IF(AND(R185&gt;600,Q185&gt;20000),"OBEDECE",IF(AND(R185&gt;300,Q185&gt;=10000,Q185&lt;=20000),"OBEDECE",IF(AND(R185&gt;150,Q185&gt;=5000,Q185&lt;=9999),"OBEDECE",IF(AND(R185&gt;60,Q185&gt;=2000,Q185&lt;=4999),"OBEDECE",IF(AND(R185&gt;30,Q185&gt;=1000,Q185&lt;=1999),"OBEDECE",IF(AND(R185&lt;=29,Q185&lt;=1000),"OBEDECE","NÃO OBEDECE"))))))</f>
        <v>NÃO OBEDECE</v>
      </c>
      <c r="P185" s="3" t="s">
        <v>62</v>
      </c>
      <c r="Q185" s="4" t="n">
        <v>34599</v>
      </c>
      <c r="R185" s="4" t="n">
        <v>546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</row>
    <row r="186" customFormat="false" ht="15" hidden="false" customHeight="false" outlineLevel="0" collapsed="false">
      <c r="A186" s="10" t="s">
        <v>332</v>
      </c>
      <c r="B186" s="11" t="s">
        <v>54</v>
      </c>
      <c r="C186" s="11" t="s">
        <v>41</v>
      </c>
      <c r="D186" s="11" t="s">
        <v>55</v>
      </c>
      <c r="E186" s="11" t="s">
        <v>118</v>
      </c>
      <c r="F186" s="11" t="s">
        <v>57</v>
      </c>
      <c r="G186" s="12" t="s">
        <v>64</v>
      </c>
      <c r="H186" s="11" t="s">
        <v>171</v>
      </c>
      <c r="I186" s="11" t="s">
        <v>171</v>
      </c>
      <c r="J186" s="11" t="s">
        <v>171</v>
      </c>
      <c r="K186" s="11" t="s">
        <v>48</v>
      </c>
      <c r="L186" s="11" t="s">
        <v>49</v>
      </c>
      <c r="M186" s="11" t="s">
        <v>60</v>
      </c>
      <c r="N186" s="11" t="s">
        <v>51</v>
      </c>
      <c r="O186" s="13" t="str">
        <f aca="false">IF(AND(R186&gt;600,Q186&gt;20000),"OBEDECE",IF(AND(R186&gt;300,Q186&gt;=10000,Q186&lt;=20000),"OBEDECE",IF(AND(R186&gt;150,Q186&gt;=5000,Q186&lt;=9999),"OBEDECE",IF(AND(R186&gt;60,Q186&gt;=2000,Q186&lt;=4999),"OBEDECE",IF(AND(R186&gt;30,Q186&gt;=1000,Q186&lt;=1999),"OBEDECE",IF(AND(R186&lt;=29,Q186&lt;=1000),"OBEDECE","NÃO OBEDECE"))))))</f>
        <v>NÃO OBEDECE</v>
      </c>
      <c r="P186" s="3" t="s">
        <v>62</v>
      </c>
      <c r="Q186" s="4" t="n">
        <v>24465</v>
      </c>
      <c r="R186" s="4" t="n">
        <v>543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14" t="n">
        <v>0</v>
      </c>
      <c r="AB186" s="14" t="n">
        <v>0</v>
      </c>
      <c r="AC186" s="14" t="n">
        <v>0</v>
      </c>
      <c r="AD186" s="14" t="n">
        <v>0</v>
      </c>
      <c r="AE186" s="14" t="n">
        <v>0</v>
      </c>
      <c r="AF186" s="14" t="n">
        <v>0</v>
      </c>
      <c r="AG186" s="14" t="n">
        <v>0</v>
      </c>
      <c r="AH186" s="14" t="n">
        <v>0</v>
      </c>
      <c r="AI186" s="14" t="n">
        <v>0</v>
      </c>
      <c r="AJ186" s="14" t="n">
        <v>0</v>
      </c>
      <c r="AK186" s="14" t="n">
        <v>0</v>
      </c>
      <c r="AL186" s="14" t="n">
        <v>0</v>
      </c>
      <c r="AM186" s="14" t="n">
        <v>0</v>
      </c>
    </row>
    <row r="187" customFormat="false" ht="15" hidden="false" customHeight="false" outlineLevel="0" collapsed="false">
      <c r="A187" s="10" t="s">
        <v>333</v>
      </c>
      <c r="B187" s="11" t="s">
        <v>40</v>
      </c>
      <c r="C187" s="11" t="s">
        <v>41</v>
      </c>
      <c r="D187" s="11" t="s">
        <v>42</v>
      </c>
      <c r="E187" s="11" t="s">
        <v>43</v>
      </c>
      <c r="F187" s="11" t="s">
        <v>44</v>
      </c>
      <c r="G187" s="12" t="s">
        <v>45</v>
      </c>
      <c r="H187" s="11" t="s">
        <v>171</v>
      </c>
      <c r="I187" s="11" t="s">
        <v>47</v>
      </c>
      <c r="J187" s="11" t="s">
        <v>171</v>
      </c>
      <c r="K187" s="11" t="s">
        <v>48</v>
      </c>
      <c r="L187" s="11" t="s">
        <v>49</v>
      </c>
      <c r="M187" s="11" t="s">
        <v>60</v>
      </c>
      <c r="N187" s="11" t="s">
        <v>51</v>
      </c>
      <c r="O187" s="13" t="str">
        <f aca="false">IF(AND(R187&gt;600,Q187&gt;20000),"OBEDECE",IF(AND(R187&gt;300,Q187&gt;=10000,Q187&lt;=20000),"OBEDECE",IF(AND(R187&gt;150,Q187&gt;=5000,Q187&lt;=9999),"OBEDECE",IF(AND(R187&gt;60,Q187&gt;=2000,Q187&lt;=4999),"OBEDECE",IF(AND(R187&gt;30,Q187&gt;=1000,Q187&lt;=1999),"OBEDECE",IF(AND(R187&lt;=29,Q187&lt;=1000),"OBEDECE","NÃO OBEDECE"))))))</f>
        <v>NÃO OBEDECE</v>
      </c>
      <c r="P187" s="3" t="s">
        <v>68</v>
      </c>
      <c r="Q187" s="4" t="n">
        <v>30579</v>
      </c>
      <c r="R187" s="4" t="n">
        <v>446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2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</row>
    <row r="188" customFormat="false" ht="15" hidden="true" customHeight="false" outlineLevel="0" collapsed="false">
      <c r="A188" s="11" t="s">
        <v>334</v>
      </c>
      <c r="B188" s="11" t="s">
        <v>40</v>
      </c>
      <c r="C188" s="11" t="s">
        <v>41</v>
      </c>
      <c r="D188" s="11" t="s">
        <v>42</v>
      </c>
      <c r="E188" s="11" t="s">
        <v>118</v>
      </c>
      <c r="F188" s="11" t="s">
        <v>57</v>
      </c>
      <c r="G188" s="12"/>
      <c r="H188" s="11" t="s">
        <v>171</v>
      </c>
      <c r="I188" s="11" t="s">
        <v>171</v>
      </c>
      <c r="J188" s="11" t="s">
        <v>47</v>
      </c>
      <c r="K188" s="11" t="s">
        <v>59</v>
      </c>
      <c r="L188" s="11" t="s">
        <v>74</v>
      </c>
      <c r="M188" s="11" t="s">
        <v>50</v>
      </c>
      <c r="N188" s="11" t="s">
        <v>71</v>
      </c>
      <c r="O188" s="13" t="str">
        <f aca="false">IF(AND(R188&gt;600,Q188&gt;20000),"OBEDECE",IF(AND(R188&gt;300,Q188&gt;=10000,Q188&lt;=20000),"OBEDECE",IF(AND(R188&gt;150,Q188&gt;=5000,Q188&lt;=9999),"OBEDECE",IF(AND(R188&gt;60,Q188&gt;=2000,Q188&lt;=4999),"OBEDECE",IF(AND(R188&gt;30,Q188&gt;=1000,Q188&lt;=1999),"OBEDECE",IF(AND(R188&lt;=29,Q188&lt;=1000),"OBEDECE","NÃO OBEDECE"))))))</f>
        <v>NÃO OBEDECE</v>
      </c>
      <c r="P188" s="3" t="s">
        <v>62</v>
      </c>
      <c r="Q188" s="4" t="n">
        <v>8127</v>
      </c>
      <c r="R188" s="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14" t="n">
        <v>0</v>
      </c>
      <c r="AB188" s="14" t="n">
        <v>0</v>
      </c>
      <c r="AC188" s="14" t="n">
        <v>0</v>
      </c>
      <c r="AD188" s="14" t="n">
        <v>0</v>
      </c>
      <c r="AE188" s="14" t="n">
        <v>0</v>
      </c>
      <c r="AF188" s="14" t="n">
        <v>0</v>
      </c>
      <c r="AG188" s="14" t="n">
        <v>0</v>
      </c>
      <c r="AH188" s="14" t="n">
        <v>0</v>
      </c>
      <c r="AI188" s="14" t="n">
        <v>0</v>
      </c>
      <c r="AJ188" s="14" t="n">
        <v>0</v>
      </c>
      <c r="AK188" s="14" t="n">
        <v>0</v>
      </c>
      <c r="AL188" s="14" t="n">
        <v>0</v>
      </c>
      <c r="AM188" s="14" t="n">
        <v>0</v>
      </c>
    </row>
    <row r="189" customFormat="false" ht="15" hidden="false" customHeight="false" outlineLevel="0" collapsed="false">
      <c r="A189" s="11" t="s">
        <v>335</v>
      </c>
      <c r="B189" s="11" t="s">
        <v>54</v>
      </c>
      <c r="C189" s="11" t="s">
        <v>66</v>
      </c>
      <c r="D189" s="11" t="s">
        <v>55</v>
      </c>
      <c r="E189" s="11" t="s">
        <v>118</v>
      </c>
      <c r="F189" s="11" t="s">
        <v>57</v>
      </c>
      <c r="G189" s="12" t="s">
        <v>76</v>
      </c>
      <c r="H189" s="11" t="s">
        <v>171</v>
      </c>
      <c r="I189" s="11" t="s">
        <v>171</v>
      </c>
      <c r="J189" s="11" t="s">
        <v>47</v>
      </c>
      <c r="K189" s="11" t="s">
        <v>48</v>
      </c>
      <c r="L189" s="11" t="s">
        <v>49</v>
      </c>
      <c r="M189" s="11" t="s">
        <v>50</v>
      </c>
      <c r="N189" s="11" t="s">
        <v>51</v>
      </c>
      <c r="O189" s="13" t="str">
        <f aca="false">IF(AND(R189&gt;600,Q189&gt;20000),"OBEDECE",IF(AND(R189&gt;300,Q189&gt;=10000,Q189&lt;=20000),"OBEDECE",IF(AND(R189&gt;150,Q189&gt;=5000,Q189&lt;=9999),"OBEDECE",IF(AND(R189&gt;60,Q189&gt;=2000,Q189&lt;=4999),"OBEDECE",IF(AND(R189&gt;30,Q189&gt;=1000,Q189&lt;=1999),"OBEDECE",IF(AND(R189&lt;=29,Q189&lt;=1000),"OBEDECE","NÃO OBEDECE"))))))</f>
        <v>NÃO OBEDECE</v>
      </c>
      <c r="P189" s="3" t="s">
        <v>52</v>
      </c>
      <c r="Q189" s="4" t="n">
        <v>40738</v>
      </c>
      <c r="R189" s="4" t="n">
        <v>586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2</v>
      </c>
      <c r="Z189" s="14" t="n">
        <v>2</v>
      </c>
      <c r="AA189" s="14" t="n">
        <v>1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1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</row>
    <row r="190" customFormat="false" ht="15" hidden="false" customHeight="false" outlineLevel="0" collapsed="false">
      <c r="A190" s="11" t="s">
        <v>336</v>
      </c>
      <c r="B190" s="11" t="s">
        <v>54</v>
      </c>
      <c r="C190" s="11" t="s">
        <v>41</v>
      </c>
      <c r="D190" s="11" t="s">
        <v>55</v>
      </c>
      <c r="E190" s="11" t="s">
        <v>118</v>
      </c>
      <c r="F190" s="11" t="s">
        <v>57</v>
      </c>
      <c r="G190" s="12" t="s">
        <v>92</v>
      </c>
      <c r="H190" s="11" t="s">
        <v>171</v>
      </c>
      <c r="I190" s="11" t="s">
        <v>171</v>
      </c>
      <c r="J190" s="11" t="s">
        <v>47</v>
      </c>
      <c r="K190" s="11" t="s">
        <v>59</v>
      </c>
      <c r="L190" s="11" t="s">
        <v>74</v>
      </c>
      <c r="M190" s="11" t="s">
        <v>50</v>
      </c>
      <c r="N190" s="11" t="s">
        <v>61</v>
      </c>
      <c r="O190" s="13" t="str">
        <f aca="false">IF(AND(R190&gt;600,Q190&gt;20000),"OBEDECE",IF(AND(R190&gt;300,Q190&gt;=10000,Q190&lt;=20000),"OBEDECE",IF(AND(R190&gt;150,Q190&gt;=5000,Q190&lt;=9999),"OBEDECE",IF(AND(R190&gt;60,Q190&gt;=2000,Q190&lt;=4999),"OBEDECE",IF(AND(R190&gt;30,Q190&gt;=1000,Q190&lt;=1999),"OBEDECE",IF(AND(R190&lt;=29,Q190&lt;=1000),"OBEDECE","NÃO OBEDECE"))))))</f>
        <v>NÃO OBEDECE</v>
      </c>
      <c r="P190" s="3" t="s">
        <v>62</v>
      </c>
      <c r="Q190" s="4" t="n">
        <v>13364</v>
      </c>
      <c r="R190" s="4" t="n">
        <v>145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n">
        <v>0</v>
      </c>
      <c r="AB190" s="14" t="n">
        <v>0</v>
      </c>
      <c r="AC190" s="14" t="n">
        <v>0</v>
      </c>
      <c r="AD190" s="14" t="n">
        <v>0</v>
      </c>
      <c r="AE190" s="14" t="n">
        <v>0</v>
      </c>
      <c r="AF190" s="14" t="n">
        <v>0</v>
      </c>
      <c r="AG190" s="14" t="n">
        <v>0</v>
      </c>
      <c r="AH190" s="14" t="n">
        <v>0</v>
      </c>
      <c r="AI190" s="14" t="n">
        <v>0</v>
      </c>
      <c r="AJ190" s="14" t="n">
        <v>0</v>
      </c>
      <c r="AK190" s="14" t="n">
        <v>0</v>
      </c>
      <c r="AL190" s="14" t="n">
        <v>0</v>
      </c>
      <c r="AM190" s="14" t="n">
        <v>0</v>
      </c>
    </row>
    <row r="191" customFormat="false" ht="15" hidden="false" customHeight="false" outlineLevel="0" collapsed="false">
      <c r="A191" s="11" t="s">
        <v>337</v>
      </c>
      <c r="B191" s="11" t="s">
        <v>54</v>
      </c>
      <c r="C191" s="11" t="s">
        <v>41</v>
      </c>
      <c r="D191" s="11" t="s">
        <v>55</v>
      </c>
      <c r="E191" s="11" t="s">
        <v>118</v>
      </c>
      <c r="F191" s="11" t="s">
        <v>57</v>
      </c>
      <c r="G191" s="12" t="s">
        <v>90</v>
      </c>
      <c r="H191" s="11" t="s">
        <v>171</v>
      </c>
      <c r="I191" s="11" t="s">
        <v>171</v>
      </c>
      <c r="J191" s="11" t="s">
        <v>47</v>
      </c>
      <c r="K191" s="11" t="s">
        <v>59</v>
      </c>
      <c r="L191" s="11" t="s">
        <v>135</v>
      </c>
      <c r="M191" s="11" t="s">
        <v>50</v>
      </c>
      <c r="N191" s="11" t="s">
        <v>61</v>
      </c>
      <c r="O191" s="13" t="str">
        <f aca="false">IF(AND(R191&gt;600,Q191&gt;20000),"OBEDECE",IF(AND(R191&gt;300,Q191&gt;=10000,Q191&lt;=20000),"OBEDECE",IF(AND(R191&gt;150,Q191&gt;=5000,Q191&lt;=9999),"OBEDECE",IF(AND(R191&gt;60,Q191&gt;=2000,Q191&lt;=4999),"OBEDECE",IF(AND(R191&gt;30,Q191&gt;=1000,Q191&lt;=1999),"OBEDECE",IF(AND(R191&lt;=29,Q191&lt;=1000),"OBEDECE","NÃO OBEDECE"))))))</f>
        <v>NÃO OBEDECE</v>
      </c>
      <c r="P191" s="3" t="s">
        <v>68</v>
      </c>
      <c r="Q191" s="4" t="n">
        <v>18917</v>
      </c>
      <c r="R191" s="4" t="n">
        <v>145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1</v>
      </c>
      <c r="Z191" s="14" t="n">
        <v>1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</row>
    <row r="192" customFormat="false" ht="15" hidden="false" customHeight="false" outlineLevel="0" collapsed="false">
      <c r="A192" s="11" t="s">
        <v>338</v>
      </c>
      <c r="B192" s="11" t="s">
        <v>40</v>
      </c>
      <c r="C192" s="11" t="s">
        <v>66</v>
      </c>
      <c r="D192" s="11" t="s">
        <v>42</v>
      </c>
      <c r="E192" s="11" t="s">
        <v>118</v>
      </c>
      <c r="F192" s="11" t="s">
        <v>57</v>
      </c>
      <c r="G192" s="12" t="s">
        <v>103</v>
      </c>
      <c r="H192" s="11" t="s">
        <v>171</v>
      </c>
      <c r="I192" s="11" t="s">
        <v>171</v>
      </c>
      <c r="J192" s="11" t="s">
        <v>47</v>
      </c>
      <c r="K192" s="11" t="s">
        <v>59</v>
      </c>
      <c r="L192" s="11" t="s">
        <v>135</v>
      </c>
      <c r="M192" s="11" t="s">
        <v>50</v>
      </c>
      <c r="N192" s="11" t="s">
        <v>51</v>
      </c>
      <c r="O192" s="13" t="str">
        <f aca="false">IF(AND(R192&gt;600,Q192&gt;20000),"OBEDECE",IF(AND(R192&gt;300,Q192&gt;=10000,Q192&lt;=20000),"OBEDECE",IF(AND(R192&gt;150,Q192&gt;=5000,Q192&lt;=9999),"OBEDECE",IF(AND(R192&gt;60,Q192&gt;=2000,Q192&lt;=4999),"OBEDECE",IF(AND(R192&gt;30,Q192&gt;=1000,Q192&lt;=1999),"OBEDECE",IF(AND(R192&lt;=29,Q192&lt;=1000),"OBEDECE","NÃO OBEDECE"))))))</f>
        <v>NÃO OBEDECE</v>
      </c>
      <c r="P192" s="3" t="s">
        <v>52</v>
      </c>
      <c r="Q192" s="4" t="n">
        <v>33168</v>
      </c>
      <c r="R192" s="4" t="n">
        <v>165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1</v>
      </c>
      <c r="Z192" s="14" t="n">
        <v>0</v>
      </c>
      <c r="AA192" s="14" t="n">
        <v>0</v>
      </c>
      <c r="AB192" s="14" t="n">
        <v>0</v>
      </c>
      <c r="AC192" s="14" t="n">
        <v>0</v>
      </c>
      <c r="AD192" s="14" t="n">
        <v>0</v>
      </c>
      <c r="AE192" s="14" t="n">
        <v>0</v>
      </c>
      <c r="AF192" s="14" t="n">
        <v>0</v>
      </c>
      <c r="AG192" s="14" t="n">
        <v>0</v>
      </c>
      <c r="AH192" s="14" t="n">
        <v>0</v>
      </c>
      <c r="AI192" s="14" t="n">
        <v>0</v>
      </c>
      <c r="AJ192" s="14" t="n">
        <v>0</v>
      </c>
      <c r="AK192" s="14" t="n">
        <v>1</v>
      </c>
      <c r="AL192" s="14" t="n">
        <v>0</v>
      </c>
      <c r="AM192" s="14" t="n">
        <v>0</v>
      </c>
    </row>
    <row r="193" customFormat="false" ht="15" hidden="false" customHeight="false" outlineLevel="0" collapsed="false">
      <c r="A193" s="11" t="s">
        <v>339</v>
      </c>
      <c r="B193" s="11" t="s">
        <v>54</v>
      </c>
      <c r="C193" s="11" t="s">
        <v>66</v>
      </c>
      <c r="D193" s="11" t="s">
        <v>42</v>
      </c>
      <c r="E193" s="11" t="s">
        <v>118</v>
      </c>
      <c r="F193" s="11" t="s">
        <v>57</v>
      </c>
      <c r="G193" s="12" t="s">
        <v>81</v>
      </c>
      <c r="H193" s="11" t="s">
        <v>171</v>
      </c>
      <c r="I193" s="11" t="s">
        <v>171</v>
      </c>
      <c r="J193" s="11" t="s">
        <v>47</v>
      </c>
      <c r="K193" s="11" t="s">
        <v>59</v>
      </c>
      <c r="L193" s="11" t="s">
        <v>74</v>
      </c>
      <c r="M193" s="11" t="s">
        <v>50</v>
      </c>
      <c r="N193" s="11" t="s">
        <v>51</v>
      </c>
      <c r="O193" s="13" t="str">
        <f aca="false">IF(AND(R193&gt;600,Q193&gt;20000),"OBEDECE",IF(AND(R193&gt;300,Q193&gt;=10000,Q193&lt;=20000),"OBEDECE",IF(AND(R193&gt;150,Q193&gt;=5000,Q193&lt;=9999),"OBEDECE",IF(AND(R193&gt;60,Q193&gt;=2000,Q193&lt;=4999),"OBEDECE",IF(AND(R193&gt;30,Q193&gt;=1000,Q193&lt;=1999),"OBEDECE",IF(AND(R193&lt;=29,Q193&lt;=1000),"OBEDECE","NÃO OBEDECE"))))))</f>
        <v>NÃO OBEDECE</v>
      </c>
      <c r="P193" s="3" t="s">
        <v>68</v>
      </c>
      <c r="Q193" s="4" t="n">
        <v>22271</v>
      </c>
      <c r="R193" s="4" t="n">
        <v>130</v>
      </c>
      <c r="S193" s="14" t="n">
        <v>0</v>
      </c>
      <c r="T193" s="14" t="n">
        <v>0</v>
      </c>
      <c r="U193" s="14" t="n">
        <v>0</v>
      </c>
      <c r="V193" s="14" t="n">
        <v>1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</row>
    <row r="194" customFormat="false" ht="15" hidden="false" customHeight="false" outlineLevel="0" collapsed="false">
      <c r="A194" s="10" t="s">
        <v>340</v>
      </c>
      <c r="B194" s="11" t="s">
        <v>40</v>
      </c>
      <c r="C194" s="11" t="s">
        <v>41</v>
      </c>
      <c r="D194" s="11" t="s">
        <v>42</v>
      </c>
      <c r="E194" s="11" t="s">
        <v>43</v>
      </c>
      <c r="F194" s="11" t="s">
        <v>44</v>
      </c>
      <c r="G194" s="12" t="s">
        <v>45</v>
      </c>
      <c r="H194" s="11" t="s">
        <v>171</v>
      </c>
      <c r="I194" s="11" t="s">
        <v>47</v>
      </c>
      <c r="J194" s="11" t="s">
        <v>171</v>
      </c>
      <c r="K194" s="11" t="s">
        <v>59</v>
      </c>
      <c r="L194" s="11" t="s">
        <v>77</v>
      </c>
      <c r="M194" s="11" t="s">
        <v>60</v>
      </c>
      <c r="N194" s="11" t="s">
        <v>61</v>
      </c>
      <c r="O194" s="13" t="str">
        <f aca="false">IF(AND(R194&gt;600,Q194&gt;20000),"OBEDECE",IF(AND(R194&gt;300,Q194&gt;=10000,Q194&lt;=20000),"OBEDECE",IF(AND(R194&gt;150,Q194&gt;=5000,Q194&lt;=9999),"OBEDECE",IF(AND(R194&gt;60,Q194&gt;=2000,Q194&lt;=4999),"OBEDECE",IF(AND(R194&gt;30,Q194&gt;=1000,Q194&lt;=1999),"OBEDECE",IF(AND(R194&lt;=29,Q194&lt;=1000),"OBEDECE","NÃO OBEDECE"))))))</f>
        <v>NÃO OBEDECE</v>
      </c>
      <c r="P194" s="3" t="s">
        <v>68</v>
      </c>
      <c r="Q194" s="4" t="n">
        <v>10741</v>
      </c>
      <c r="R194" s="4" t="n">
        <v>192</v>
      </c>
      <c r="S194" s="14" t="n">
        <v>0</v>
      </c>
      <c r="T194" s="14" t="n">
        <v>1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n">
        <v>0</v>
      </c>
      <c r="AB194" s="14" t="n">
        <v>0</v>
      </c>
      <c r="AC194" s="14" t="n">
        <v>0</v>
      </c>
      <c r="AD194" s="14" t="n">
        <v>0</v>
      </c>
      <c r="AE194" s="14" t="n">
        <v>0</v>
      </c>
      <c r="AF194" s="14" t="n">
        <v>0</v>
      </c>
      <c r="AG194" s="14" t="n">
        <v>0</v>
      </c>
      <c r="AH194" s="14" t="n">
        <v>0</v>
      </c>
      <c r="AI194" s="14" t="n">
        <v>0</v>
      </c>
      <c r="AJ194" s="14" t="n">
        <v>0</v>
      </c>
      <c r="AK194" s="14" t="n">
        <v>0</v>
      </c>
      <c r="AL194" s="14" t="n">
        <v>0</v>
      </c>
      <c r="AM194" s="14" t="n">
        <v>0</v>
      </c>
    </row>
    <row r="195" customFormat="false" ht="15" hidden="false" customHeight="false" outlineLevel="0" collapsed="false">
      <c r="A195" s="11" t="s">
        <v>341</v>
      </c>
      <c r="B195" s="11" t="s">
        <v>40</v>
      </c>
      <c r="C195" s="11" t="s">
        <v>41</v>
      </c>
      <c r="D195" s="11" t="s">
        <v>42</v>
      </c>
      <c r="E195" s="11" t="s">
        <v>118</v>
      </c>
      <c r="F195" s="11" t="s">
        <v>57</v>
      </c>
      <c r="G195" s="12" t="s">
        <v>282</v>
      </c>
      <c r="H195" s="11" t="s">
        <v>171</v>
      </c>
      <c r="I195" s="11" t="s">
        <v>171</v>
      </c>
      <c r="J195" s="11" t="s">
        <v>47</v>
      </c>
      <c r="K195" s="11" t="s">
        <v>59</v>
      </c>
      <c r="L195" s="11" t="s">
        <v>74</v>
      </c>
      <c r="M195" s="11" t="s">
        <v>50</v>
      </c>
      <c r="N195" s="11" t="s">
        <v>61</v>
      </c>
      <c r="O195" s="13" t="str">
        <f aca="false">IF(AND(R195&gt;600,Q195&gt;20000),"OBEDECE",IF(AND(R195&gt;300,Q195&gt;=10000,Q195&lt;=20000),"OBEDECE",IF(AND(R195&gt;150,Q195&gt;=5000,Q195&lt;=9999),"OBEDECE",IF(AND(R195&gt;60,Q195&gt;=2000,Q195&lt;=4999),"OBEDECE",IF(AND(R195&gt;30,Q195&gt;=1000,Q195&lt;=1999),"OBEDECE",IF(AND(R195&lt;=29,Q195&lt;=1000),"OBEDECE","NÃO OBEDECE"))))))</f>
        <v>NÃO OBEDECE</v>
      </c>
      <c r="P195" s="3" t="s">
        <v>62</v>
      </c>
      <c r="Q195" s="4" t="n">
        <v>18267</v>
      </c>
      <c r="R195" s="4" t="n">
        <v>85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</row>
    <row r="196" customFormat="false" ht="15" hidden="false" customHeight="false" outlineLevel="0" collapsed="false">
      <c r="A196" s="11" t="s">
        <v>342</v>
      </c>
      <c r="B196" s="11" t="s">
        <v>54</v>
      </c>
      <c r="C196" s="11" t="s">
        <v>66</v>
      </c>
      <c r="D196" s="11" t="s">
        <v>42</v>
      </c>
      <c r="E196" s="11" t="s">
        <v>56</v>
      </c>
      <c r="F196" s="11" t="s">
        <v>57</v>
      </c>
      <c r="G196" s="12" t="s">
        <v>343</v>
      </c>
      <c r="H196" s="11" t="s">
        <v>171</v>
      </c>
      <c r="I196" s="11" t="s">
        <v>47</v>
      </c>
      <c r="J196" s="11" t="s">
        <v>47</v>
      </c>
      <c r="K196" s="11" t="s">
        <v>59</v>
      </c>
      <c r="L196" s="11" t="s">
        <v>74</v>
      </c>
      <c r="M196" s="11" t="s">
        <v>50</v>
      </c>
      <c r="N196" s="11" t="s">
        <v>61</v>
      </c>
      <c r="O196" s="13" t="str">
        <f aca="false">IF(AND(R196&gt;600,Q196&gt;20000),"OBEDECE",IF(AND(R196&gt;300,Q196&gt;=10000,Q196&lt;=20000),"OBEDECE",IF(AND(R196&gt;150,Q196&gt;=5000,Q196&lt;=9999),"OBEDECE",IF(AND(R196&gt;60,Q196&gt;=2000,Q196&lt;=4999),"OBEDECE",IF(AND(R196&gt;30,Q196&gt;=1000,Q196&lt;=1999),"OBEDECE",IF(AND(R196&lt;=29,Q196&lt;=1000),"OBEDECE","NÃO OBEDECE"))))))</f>
        <v>NÃO OBEDECE</v>
      </c>
      <c r="P196" s="3" t="s">
        <v>62</v>
      </c>
      <c r="Q196" s="4" t="n">
        <v>12389</v>
      </c>
      <c r="R196" s="4" t="n">
        <v>110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4" t="n">
        <v>0</v>
      </c>
      <c r="AC196" s="14" t="n">
        <v>0</v>
      </c>
      <c r="AD196" s="14" t="n">
        <v>0</v>
      </c>
      <c r="AE196" s="14" t="n">
        <v>0</v>
      </c>
      <c r="AF196" s="14" t="n">
        <v>0</v>
      </c>
      <c r="AG196" s="14" t="n">
        <v>0</v>
      </c>
      <c r="AH196" s="14" t="n">
        <v>0</v>
      </c>
      <c r="AI196" s="14" t="n">
        <v>0</v>
      </c>
      <c r="AJ196" s="14" t="n">
        <v>0</v>
      </c>
      <c r="AK196" s="14" t="n">
        <v>0</v>
      </c>
      <c r="AL196" s="14" t="n">
        <v>0</v>
      </c>
      <c r="AM196" s="14" t="n">
        <v>0</v>
      </c>
    </row>
    <row r="197" customFormat="false" ht="15" hidden="false" customHeight="false" outlineLevel="0" collapsed="false">
      <c r="A197" s="11" t="s">
        <v>344</v>
      </c>
      <c r="B197" s="11" t="s">
        <v>54</v>
      </c>
      <c r="C197" s="11" t="s">
        <v>66</v>
      </c>
      <c r="D197" s="11" t="s">
        <v>42</v>
      </c>
      <c r="E197" s="11" t="s">
        <v>118</v>
      </c>
      <c r="F197" s="11" t="s">
        <v>57</v>
      </c>
      <c r="G197" s="12" t="s">
        <v>76</v>
      </c>
      <c r="H197" s="11" t="s">
        <v>171</v>
      </c>
      <c r="I197" s="11" t="s">
        <v>171</v>
      </c>
      <c r="J197" s="11" t="s">
        <v>47</v>
      </c>
      <c r="K197" s="11" t="s">
        <v>59</v>
      </c>
      <c r="L197" s="11" t="s">
        <v>74</v>
      </c>
      <c r="M197" s="11" t="s">
        <v>50</v>
      </c>
      <c r="N197" s="11" t="s">
        <v>61</v>
      </c>
      <c r="O197" s="13" t="str">
        <f aca="false">IF(AND(R197&gt;600,Q197&gt;20000),"OBEDECE",IF(AND(R197&gt;300,Q197&gt;=10000,Q197&lt;=20000),"OBEDECE",IF(AND(R197&gt;150,Q197&gt;=5000,Q197&lt;=9999),"OBEDECE",IF(AND(R197&gt;60,Q197&gt;=2000,Q197&lt;=4999),"OBEDECE",IF(AND(R197&gt;30,Q197&gt;=1000,Q197&lt;=1999),"OBEDECE",IF(AND(R197&lt;=29,Q197&lt;=1000),"OBEDECE","NÃO OBEDECE"))))))</f>
        <v>NÃO OBEDECE</v>
      </c>
      <c r="P197" s="3" t="s">
        <v>62</v>
      </c>
      <c r="Q197" s="4" t="n">
        <v>17869</v>
      </c>
      <c r="R197" s="4" t="n">
        <v>110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4" t="n">
        <v>0</v>
      </c>
      <c r="AF197" s="14" t="n">
        <v>0</v>
      </c>
      <c r="AG197" s="14" t="n">
        <v>0</v>
      </c>
      <c r="AH197" s="14" t="n">
        <v>0</v>
      </c>
      <c r="AI197" s="14" t="n">
        <v>0</v>
      </c>
      <c r="AJ197" s="14" t="n">
        <v>0</v>
      </c>
      <c r="AK197" s="14" t="n">
        <v>0</v>
      </c>
      <c r="AL197" s="14" t="n">
        <v>0</v>
      </c>
      <c r="AM197" s="14" t="n">
        <v>0</v>
      </c>
    </row>
    <row r="198" customFormat="false" ht="15" hidden="false" customHeight="false" outlineLevel="0" collapsed="false">
      <c r="A198" s="11" t="s">
        <v>345</v>
      </c>
      <c r="B198" s="11" t="s">
        <v>40</v>
      </c>
      <c r="C198" s="11" t="s">
        <v>41</v>
      </c>
      <c r="D198" s="11" t="s">
        <v>42</v>
      </c>
      <c r="E198" s="11" t="s">
        <v>118</v>
      </c>
      <c r="F198" s="11" t="s">
        <v>57</v>
      </c>
      <c r="G198" s="12" t="s">
        <v>87</v>
      </c>
      <c r="H198" s="11" t="s">
        <v>171</v>
      </c>
      <c r="I198" s="11" t="s">
        <v>171</v>
      </c>
      <c r="J198" s="11" t="s">
        <v>47</v>
      </c>
      <c r="K198" s="11" t="s">
        <v>59</v>
      </c>
      <c r="L198" s="11" t="s">
        <v>74</v>
      </c>
      <c r="M198" s="11" t="s">
        <v>60</v>
      </c>
      <c r="N198" s="11" t="s">
        <v>51</v>
      </c>
      <c r="O198" s="13" t="str">
        <f aca="false">IF(AND(R198&gt;600,Q198&gt;20000),"OBEDECE",IF(AND(R198&gt;300,Q198&gt;=10000,Q198&lt;=20000),"OBEDECE",IF(AND(R198&gt;150,Q198&gt;=5000,Q198&lt;=9999),"OBEDECE",IF(AND(R198&gt;60,Q198&gt;=2000,Q198&lt;=4999),"OBEDECE",IF(AND(R198&gt;30,Q198&gt;=1000,Q198&lt;=1999),"OBEDECE",IF(AND(R198&lt;=29,Q198&lt;=1000),"OBEDECE","NÃO OBEDECE"))))))</f>
        <v>NÃO OBEDECE</v>
      </c>
      <c r="P198" s="3" t="s">
        <v>62</v>
      </c>
      <c r="Q198" s="4" t="n">
        <v>24072</v>
      </c>
      <c r="R198" s="4" t="n">
        <v>104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14" t="n">
        <v>0</v>
      </c>
      <c r="AB198" s="14" t="n">
        <v>0</v>
      </c>
      <c r="AC198" s="14" t="n">
        <v>0</v>
      </c>
      <c r="AD198" s="14" t="n">
        <v>0</v>
      </c>
      <c r="AE198" s="14" t="n">
        <v>0</v>
      </c>
      <c r="AF198" s="14" t="n">
        <v>0</v>
      </c>
      <c r="AG198" s="14" t="n">
        <v>0</v>
      </c>
      <c r="AH198" s="14" t="n">
        <v>0</v>
      </c>
      <c r="AI198" s="14" t="n">
        <v>0</v>
      </c>
      <c r="AJ198" s="14" t="n">
        <v>0</v>
      </c>
      <c r="AK198" s="14" t="n">
        <v>0</v>
      </c>
      <c r="AL198" s="14" t="n">
        <v>0</v>
      </c>
      <c r="AM198" s="14" t="n">
        <v>0</v>
      </c>
    </row>
    <row r="199" customFormat="false" ht="15" hidden="false" customHeight="false" outlineLevel="0" collapsed="false">
      <c r="A199" s="11" t="s">
        <v>346</v>
      </c>
      <c r="B199" s="11" t="s">
        <v>40</v>
      </c>
      <c r="C199" s="11" t="s">
        <v>66</v>
      </c>
      <c r="D199" s="11" t="s">
        <v>42</v>
      </c>
      <c r="E199" s="11" t="s">
        <v>118</v>
      </c>
      <c r="F199" s="11" t="s">
        <v>57</v>
      </c>
      <c r="G199" s="12" t="s">
        <v>73</v>
      </c>
      <c r="H199" s="11" t="s">
        <v>171</v>
      </c>
      <c r="I199" s="11" t="s">
        <v>171</v>
      </c>
      <c r="J199" s="11" t="s">
        <v>47</v>
      </c>
      <c r="K199" s="11" t="s">
        <v>59</v>
      </c>
      <c r="L199" s="11" t="s">
        <v>74</v>
      </c>
      <c r="M199" s="11" t="s">
        <v>60</v>
      </c>
      <c r="N199" s="11" t="s">
        <v>51</v>
      </c>
      <c r="O199" s="13" t="str">
        <f aca="false">IF(AND(R199&gt;600,Q199&gt;20000),"OBEDECE",IF(AND(R199&gt;300,Q199&gt;=10000,Q199&lt;=20000),"OBEDECE",IF(AND(R199&gt;150,Q199&gt;=5000,Q199&lt;=9999),"OBEDECE",IF(AND(R199&gt;60,Q199&gt;=2000,Q199&lt;=4999),"OBEDECE",IF(AND(R199&gt;30,Q199&gt;=1000,Q199&lt;=1999),"OBEDECE",IF(AND(R199&lt;=29,Q199&lt;=1000),"OBEDECE","NÃO OBEDECE"))))))</f>
        <v>NÃO OBEDECE</v>
      </c>
      <c r="P199" s="3" t="s">
        <v>62</v>
      </c>
      <c r="Q199" s="4" t="n">
        <v>21681</v>
      </c>
      <c r="R199" s="4" t="n">
        <v>122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</row>
    <row r="200" customFormat="false" ht="15" hidden="false" customHeight="false" outlineLevel="0" collapsed="false">
      <c r="A200" s="11" t="s">
        <v>347</v>
      </c>
      <c r="B200" s="11" t="s">
        <v>40</v>
      </c>
      <c r="C200" s="11" t="s">
        <v>66</v>
      </c>
      <c r="D200" s="11" t="s">
        <v>42</v>
      </c>
      <c r="E200" s="11" t="s">
        <v>118</v>
      </c>
      <c r="F200" s="11" t="s">
        <v>57</v>
      </c>
      <c r="G200" s="12" t="s">
        <v>99</v>
      </c>
      <c r="H200" s="11" t="s">
        <v>171</v>
      </c>
      <c r="I200" s="11" t="s">
        <v>171</v>
      </c>
      <c r="J200" s="11" t="s">
        <v>47</v>
      </c>
      <c r="K200" s="11" t="s">
        <v>59</v>
      </c>
      <c r="L200" s="11" t="s">
        <v>74</v>
      </c>
      <c r="M200" s="11" t="s">
        <v>60</v>
      </c>
      <c r="N200" s="11" t="s">
        <v>51</v>
      </c>
      <c r="O200" s="13" t="str">
        <f aca="false">IF(AND(R200&gt;600,Q200&gt;20000),"OBEDECE",IF(AND(R200&gt;300,Q200&gt;=10000,Q200&lt;=20000),"OBEDECE",IF(AND(R200&gt;150,Q200&gt;=5000,Q200&lt;=9999),"OBEDECE",IF(AND(R200&gt;60,Q200&gt;=2000,Q200&lt;=4999),"OBEDECE",IF(AND(R200&gt;30,Q200&gt;=1000,Q200&lt;=1999),"OBEDECE",IF(AND(R200&lt;=29,Q200&lt;=1000),"OBEDECE","NÃO OBEDECE"))))))</f>
        <v>NÃO OBEDECE</v>
      </c>
      <c r="P200" s="3" t="s">
        <v>52</v>
      </c>
      <c r="Q200" s="4" t="n">
        <v>22369</v>
      </c>
      <c r="R200" s="4" t="n">
        <v>144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14" t="n">
        <v>0</v>
      </c>
      <c r="AB200" s="14" t="n">
        <v>0</v>
      </c>
      <c r="AC200" s="14" t="n">
        <v>0</v>
      </c>
      <c r="AD200" s="14" t="n">
        <v>0</v>
      </c>
      <c r="AE200" s="14" t="n">
        <v>0</v>
      </c>
      <c r="AF200" s="14" t="n">
        <v>0</v>
      </c>
      <c r="AG200" s="14" t="n">
        <v>0</v>
      </c>
      <c r="AH200" s="14" t="n">
        <v>0</v>
      </c>
      <c r="AI200" s="14" t="n">
        <v>0</v>
      </c>
      <c r="AJ200" s="14" t="n">
        <v>0</v>
      </c>
      <c r="AK200" s="14" t="n">
        <v>1</v>
      </c>
      <c r="AL200" s="14" t="n">
        <v>0</v>
      </c>
      <c r="AM200" s="14" t="n">
        <v>1</v>
      </c>
    </row>
    <row r="201" customFormat="false" ht="15" hidden="false" customHeight="false" outlineLevel="0" collapsed="false">
      <c r="A201" s="11" t="s">
        <v>348</v>
      </c>
      <c r="B201" s="11" t="s">
        <v>54</v>
      </c>
      <c r="C201" s="11" t="s">
        <v>66</v>
      </c>
      <c r="D201" s="11" t="s">
        <v>42</v>
      </c>
      <c r="E201" s="11" t="s">
        <v>118</v>
      </c>
      <c r="F201" s="11" t="s">
        <v>57</v>
      </c>
      <c r="G201" s="12" t="s">
        <v>67</v>
      </c>
      <c r="H201" s="11" t="s">
        <v>171</v>
      </c>
      <c r="I201" s="11" t="s">
        <v>171</v>
      </c>
      <c r="J201" s="11" t="s">
        <v>47</v>
      </c>
      <c r="K201" s="11" t="s">
        <v>59</v>
      </c>
      <c r="L201" s="11" t="s">
        <v>74</v>
      </c>
      <c r="M201" s="11" t="s">
        <v>60</v>
      </c>
      <c r="N201" s="11" t="s">
        <v>61</v>
      </c>
      <c r="O201" s="13" t="str">
        <f aca="false">IF(AND(R201&gt;600,Q201&gt;20000),"OBEDECE",IF(AND(R201&gt;300,Q201&gt;=10000,Q201&lt;=20000),"OBEDECE",IF(AND(R201&gt;150,Q201&gt;=5000,Q201&lt;=9999),"OBEDECE",IF(AND(R201&gt;60,Q201&gt;=2000,Q201&lt;=4999),"OBEDECE",IF(AND(R201&gt;30,Q201&gt;=1000,Q201&lt;=1999),"OBEDECE",IF(AND(R201&lt;=29,Q201&lt;=1000),"OBEDECE","NÃO OBEDECE"))))))</f>
        <v>NÃO OBEDECE</v>
      </c>
      <c r="P201" s="3" t="s">
        <v>68</v>
      </c>
      <c r="Q201" s="4" t="n">
        <v>13102</v>
      </c>
      <c r="R201" s="4" t="n">
        <v>94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1</v>
      </c>
      <c r="Z201" s="14" t="n">
        <v>0</v>
      </c>
      <c r="AA201" s="14" t="n">
        <v>0</v>
      </c>
      <c r="AB201" s="14" t="n">
        <v>0</v>
      </c>
      <c r="AC201" s="14" t="n">
        <v>0</v>
      </c>
      <c r="AD201" s="14" t="n">
        <v>0</v>
      </c>
      <c r="AE201" s="14" t="n">
        <v>0</v>
      </c>
      <c r="AF201" s="14" t="n">
        <v>0</v>
      </c>
      <c r="AG201" s="14" t="n">
        <v>0</v>
      </c>
      <c r="AH201" s="14" t="n">
        <v>0</v>
      </c>
      <c r="AI201" s="14" t="n">
        <v>0</v>
      </c>
      <c r="AJ201" s="14" t="n">
        <v>0</v>
      </c>
      <c r="AK201" s="14" t="n">
        <v>0</v>
      </c>
      <c r="AL201" s="14" t="n">
        <v>0</v>
      </c>
      <c r="AM201" s="14" t="n">
        <v>0</v>
      </c>
    </row>
    <row r="202" customFormat="false" ht="15" hidden="false" customHeight="false" outlineLevel="0" collapsed="false">
      <c r="A202" s="11" t="s">
        <v>349</v>
      </c>
      <c r="B202" s="11" t="s">
        <v>40</v>
      </c>
      <c r="C202" s="11" t="s">
        <v>66</v>
      </c>
      <c r="D202" s="11" t="s">
        <v>42</v>
      </c>
      <c r="E202" s="11" t="s">
        <v>118</v>
      </c>
      <c r="F202" s="11" t="s">
        <v>57</v>
      </c>
      <c r="G202" s="12" t="s">
        <v>83</v>
      </c>
      <c r="H202" s="11" t="s">
        <v>171</v>
      </c>
      <c r="I202" s="11" t="s">
        <v>171</v>
      </c>
      <c r="J202" s="11" t="s">
        <v>47</v>
      </c>
      <c r="K202" s="11" t="s">
        <v>59</v>
      </c>
      <c r="L202" s="11" t="s">
        <v>74</v>
      </c>
      <c r="M202" s="11" t="s">
        <v>60</v>
      </c>
      <c r="N202" s="11" t="s">
        <v>51</v>
      </c>
      <c r="O202" s="13" t="str">
        <f aca="false">IF(AND(R202&gt;600,Q202&gt;20000),"OBEDECE",IF(AND(R202&gt;300,Q202&gt;=10000,Q202&lt;=20000),"OBEDECE",IF(AND(R202&gt;150,Q202&gt;=5000,Q202&lt;=9999),"OBEDECE",IF(AND(R202&gt;60,Q202&gt;=2000,Q202&lt;=4999),"OBEDECE",IF(AND(R202&gt;30,Q202&gt;=1000,Q202&lt;=1999),"OBEDECE",IF(AND(R202&lt;=29,Q202&lt;=1000),"OBEDECE","NÃO OBEDECE"))))))</f>
        <v>NÃO OBEDECE</v>
      </c>
      <c r="P202" s="3" t="s">
        <v>62</v>
      </c>
      <c r="Q202" s="4" t="n">
        <v>20860</v>
      </c>
      <c r="R202" s="4" t="n">
        <v>90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4" t="n">
        <v>0</v>
      </c>
      <c r="AC202" s="14" t="n">
        <v>0</v>
      </c>
      <c r="AD202" s="14" t="n">
        <v>0</v>
      </c>
      <c r="AE202" s="14" t="n">
        <v>0</v>
      </c>
      <c r="AF202" s="14" t="n">
        <v>0</v>
      </c>
      <c r="AG202" s="14" t="n">
        <v>0</v>
      </c>
      <c r="AH202" s="14" t="n">
        <v>0</v>
      </c>
      <c r="AI202" s="14" t="n">
        <v>0</v>
      </c>
      <c r="AJ202" s="14" t="n">
        <v>0</v>
      </c>
      <c r="AK202" s="14" t="n">
        <v>0</v>
      </c>
      <c r="AL202" s="14" t="n">
        <v>0</v>
      </c>
      <c r="AM202" s="14" t="n">
        <v>0</v>
      </c>
    </row>
    <row r="203" customFormat="false" ht="15" hidden="false" customHeight="false" outlineLevel="0" collapsed="false">
      <c r="A203" s="11" t="s">
        <v>350</v>
      </c>
      <c r="B203" s="11" t="s">
        <v>40</v>
      </c>
      <c r="C203" s="11" t="s">
        <v>41</v>
      </c>
      <c r="D203" s="11" t="s">
        <v>42</v>
      </c>
      <c r="E203" s="11" t="s">
        <v>118</v>
      </c>
      <c r="F203" s="11" t="s">
        <v>57</v>
      </c>
      <c r="G203" s="12" t="s">
        <v>85</v>
      </c>
      <c r="H203" s="11" t="s">
        <v>171</v>
      </c>
      <c r="I203" s="11" t="s">
        <v>171</v>
      </c>
      <c r="J203" s="11" t="s">
        <v>47</v>
      </c>
      <c r="K203" s="11" t="s">
        <v>59</v>
      </c>
      <c r="L203" s="11" t="s">
        <v>74</v>
      </c>
      <c r="M203" s="11" t="s">
        <v>50</v>
      </c>
      <c r="N203" s="11" t="s">
        <v>51</v>
      </c>
      <c r="O203" s="13" t="str">
        <f aca="false">IF(AND(R203&gt;600,Q203&gt;20000),"OBEDECE",IF(AND(R203&gt;300,Q203&gt;=10000,Q203&lt;=20000),"OBEDECE",IF(AND(R203&gt;150,Q203&gt;=5000,Q203&lt;=9999),"OBEDECE",IF(AND(R203&gt;60,Q203&gt;=2000,Q203&lt;=4999),"OBEDECE",IF(AND(R203&gt;30,Q203&gt;=1000,Q203&lt;=1999),"OBEDECE",IF(AND(R203&lt;=29,Q203&lt;=1000),"OBEDECE","NÃO OBEDECE"))))))</f>
        <v>NÃO OBEDECE</v>
      </c>
      <c r="P203" s="3" t="s">
        <v>52</v>
      </c>
      <c r="Q203" s="4" t="n">
        <v>23413</v>
      </c>
      <c r="R203" s="4" t="n">
        <v>143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1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4" t="n">
        <v>0</v>
      </c>
      <c r="AF203" s="14" t="n">
        <v>0</v>
      </c>
      <c r="AG203" s="14" t="n">
        <v>0</v>
      </c>
      <c r="AH203" s="14" t="n">
        <v>0</v>
      </c>
      <c r="AI203" s="14" t="n">
        <v>0</v>
      </c>
      <c r="AJ203" s="14" t="n">
        <v>0</v>
      </c>
      <c r="AK203" s="14" t="n">
        <v>1</v>
      </c>
      <c r="AL203" s="14" t="n">
        <v>0</v>
      </c>
      <c r="AM203" s="14" t="n">
        <v>0</v>
      </c>
    </row>
    <row r="204" customFormat="false" ht="15" hidden="false" customHeight="false" outlineLevel="0" collapsed="false">
      <c r="A204" s="16" t="s">
        <v>351</v>
      </c>
      <c r="B204" s="13" t="s">
        <v>40</v>
      </c>
      <c r="C204" s="13" t="s">
        <v>66</v>
      </c>
      <c r="D204" s="13" t="s">
        <v>42</v>
      </c>
      <c r="E204" s="13" t="s">
        <v>118</v>
      </c>
      <c r="F204" s="13" t="s">
        <v>57</v>
      </c>
      <c r="G204" s="12" t="s">
        <v>64</v>
      </c>
      <c r="H204" s="13" t="s">
        <v>171</v>
      </c>
      <c r="I204" s="13" t="s">
        <v>171</v>
      </c>
      <c r="J204" s="13" t="s">
        <v>171</v>
      </c>
      <c r="K204" s="13" t="s">
        <v>59</v>
      </c>
      <c r="L204" s="13" t="s">
        <v>74</v>
      </c>
      <c r="M204" s="13" t="s">
        <v>60</v>
      </c>
      <c r="N204" s="13" t="s">
        <v>51</v>
      </c>
      <c r="O204" s="13" t="str">
        <f aca="false">IF(AND(R204&gt;600,Q204&gt;20000),"OBEDECE",IF(AND(R204&gt;300,Q204&gt;=10000,Q204&lt;=20000),"OBEDECE",IF(AND(R204&gt;150,Q204&gt;=5000,Q204&lt;=9999),"OBEDECE",IF(AND(R204&gt;60,Q204&gt;=2000,Q204&lt;=4999),"OBEDECE",IF(AND(R204&gt;30,Q204&gt;=1000,Q204&lt;=1999),"OBEDECE",IF(AND(R204&lt;=29,Q204&lt;=1000),"OBEDECE","NÃO OBEDECE"))))))</f>
        <v>NÃO OBEDECE</v>
      </c>
      <c r="P204" s="17" t="s">
        <v>52</v>
      </c>
      <c r="Q204" s="18" t="n">
        <v>31186</v>
      </c>
      <c r="R204" s="18" t="n">
        <v>253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1</v>
      </c>
      <c r="Y204" s="14" t="n">
        <v>0</v>
      </c>
      <c r="Z204" s="14" t="n">
        <v>0</v>
      </c>
      <c r="AA204" s="14" t="n">
        <v>0</v>
      </c>
      <c r="AB204" s="14" t="n">
        <v>0</v>
      </c>
      <c r="AC204" s="14" t="n">
        <v>0</v>
      </c>
      <c r="AD204" s="14" t="n">
        <v>0</v>
      </c>
      <c r="AE204" s="14" t="n">
        <v>0</v>
      </c>
      <c r="AF204" s="14" t="n">
        <v>0</v>
      </c>
      <c r="AG204" s="14" t="n">
        <v>0</v>
      </c>
      <c r="AH204" s="14" t="n">
        <v>1</v>
      </c>
      <c r="AI204" s="14" t="n">
        <v>0</v>
      </c>
      <c r="AJ204" s="14" t="n">
        <v>0</v>
      </c>
      <c r="AK204" s="14" t="n">
        <v>0</v>
      </c>
      <c r="AL204" s="14" t="n">
        <v>1</v>
      </c>
      <c r="AM204" s="14" t="n">
        <v>0</v>
      </c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/>
      <c r="HT204" s="18"/>
      <c r="HU204" s="18"/>
      <c r="HV204" s="18"/>
      <c r="HW204" s="18"/>
      <c r="HX204" s="18"/>
      <c r="HY204" s="18"/>
      <c r="HZ204" s="18"/>
      <c r="IA204" s="18"/>
      <c r="IB204" s="18"/>
      <c r="IC204" s="18"/>
      <c r="ID204" s="18"/>
      <c r="IE204" s="18"/>
      <c r="IF204" s="18"/>
      <c r="IG204" s="18"/>
      <c r="IH204" s="18"/>
      <c r="II204" s="18"/>
      <c r="IJ204" s="18"/>
      <c r="IK204" s="18"/>
      <c r="IL204" s="18"/>
      <c r="IM204" s="18"/>
      <c r="IN204" s="18"/>
      <c r="IO204" s="18"/>
      <c r="IP204" s="18"/>
      <c r="IQ204" s="18"/>
      <c r="IR204" s="18"/>
      <c r="IS204" s="18"/>
      <c r="IT204" s="18"/>
      <c r="IU204" s="18"/>
      <c r="IV204" s="18"/>
      <c r="IW204" s="18"/>
    </row>
    <row r="205" customFormat="false" ht="15" hidden="false" customHeight="false" outlineLevel="0" collapsed="false">
      <c r="A205" s="11" t="s">
        <v>352</v>
      </c>
      <c r="B205" s="11" t="s">
        <v>54</v>
      </c>
      <c r="C205" s="11" t="s">
        <v>41</v>
      </c>
      <c r="D205" s="11" t="s">
        <v>42</v>
      </c>
      <c r="E205" s="11" t="s">
        <v>118</v>
      </c>
      <c r="F205" s="11" t="s">
        <v>57</v>
      </c>
      <c r="G205" s="12" t="s">
        <v>106</v>
      </c>
      <c r="H205" s="11" t="s">
        <v>171</v>
      </c>
      <c r="I205" s="11" t="s">
        <v>171</v>
      </c>
      <c r="J205" s="11" t="s">
        <v>47</v>
      </c>
      <c r="K205" s="11" t="s">
        <v>59</v>
      </c>
      <c r="L205" s="11" t="s">
        <v>74</v>
      </c>
      <c r="M205" s="11" t="s">
        <v>60</v>
      </c>
      <c r="N205" s="11" t="s">
        <v>51</v>
      </c>
      <c r="O205" s="13" t="str">
        <f aca="false">IF(AND(R205&gt;600,Q205&gt;20000),"OBEDECE",IF(AND(R205&gt;300,Q205&gt;=10000,Q205&lt;=20000),"OBEDECE",IF(AND(R205&gt;150,Q205&gt;=5000,Q205&lt;=9999),"OBEDECE",IF(AND(R205&gt;60,Q205&gt;=2000,Q205&lt;=4999),"OBEDECE",IF(AND(R205&gt;30,Q205&gt;=1000,Q205&lt;=1999),"OBEDECE",IF(AND(R205&lt;=29,Q205&lt;=1000),"OBEDECE","NÃO OBEDECE"))))))</f>
        <v>NÃO OBEDECE</v>
      </c>
      <c r="P205" s="3" t="s">
        <v>52</v>
      </c>
      <c r="Q205" s="4" t="n">
        <v>20535</v>
      </c>
      <c r="R205" s="4" t="n">
        <v>94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1</v>
      </c>
      <c r="AM205" s="14" t="n">
        <v>0</v>
      </c>
    </row>
    <row r="206" customFormat="false" ht="15" hidden="false" customHeight="false" outlineLevel="0" collapsed="false">
      <c r="A206" s="11" t="s">
        <v>353</v>
      </c>
      <c r="B206" s="11" t="s">
        <v>54</v>
      </c>
      <c r="C206" s="11" t="s">
        <v>41</v>
      </c>
      <c r="D206" s="11" t="s">
        <v>42</v>
      </c>
      <c r="E206" s="11" t="s">
        <v>118</v>
      </c>
      <c r="F206" s="11" t="s">
        <v>57</v>
      </c>
      <c r="G206" s="15" t="s">
        <v>95</v>
      </c>
      <c r="H206" s="11" t="s">
        <v>171</v>
      </c>
      <c r="I206" s="11" t="s">
        <v>171</v>
      </c>
      <c r="J206" s="11" t="s">
        <v>47</v>
      </c>
      <c r="K206" s="11" t="s">
        <v>59</v>
      </c>
      <c r="L206" s="11" t="s">
        <v>74</v>
      </c>
      <c r="M206" s="11" t="s">
        <v>60</v>
      </c>
      <c r="N206" s="11" t="s">
        <v>51</v>
      </c>
      <c r="O206" s="13" t="str">
        <f aca="false">IF(AND(R206&gt;600,Q206&gt;20000),"OBEDECE",IF(AND(R206&gt;300,Q206&gt;=10000,Q206&lt;=20000),"OBEDECE",IF(AND(R206&gt;150,Q206&gt;=5000,Q206&lt;=9999),"OBEDECE",IF(AND(R206&gt;60,Q206&gt;=2000,Q206&lt;=4999),"OBEDECE",IF(AND(R206&gt;30,Q206&gt;=1000,Q206&lt;=1999),"OBEDECE",IF(AND(R206&lt;=29,Q206&lt;=1000),"OBEDECE","NÃO OBEDECE"))))))</f>
        <v>NÃO OBEDECE</v>
      </c>
      <c r="P206" s="3" t="s">
        <v>68</v>
      </c>
      <c r="Q206" s="4" t="n">
        <v>29769</v>
      </c>
      <c r="R206" s="4" t="n">
        <v>94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1</v>
      </c>
      <c r="AA206" s="14" t="n">
        <v>0</v>
      </c>
      <c r="AB206" s="14" t="n">
        <v>0</v>
      </c>
      <c r="AC206" s="14" t="n">
        <v>0</v>
      </c>
      <c r="AD206" s="14" t="n">
        <v>0</v>
      </c>
      <c r="AE206" s="14" t="n">
        <v>0</v>
      </c>
      <c r="AF206" s="14" t="n">
        <v>0</v>
      </c>
      <c r="AG206" s="14" t="n">
        <v>0</v>
      </c>
      <c r="AH206" s="14" t="n">
        <v>0</v>
      </c>
      <c r="AI206" s="14" t="n">
        <v>0</v>
      </c>
      <c r="AJ206" s="14" t="n">
        <v>0</v>
      </c>
      <c r="AK206" s="14" t="n">
        <v>0</v>
      </c>
      <c r="AL206" s="14" t="n">
        <v>0</v>
      </c>
      <c r="AM206" s="14" t="n">
        <v>0</v>
      </c>
    </row>
    <row r="207" customFormat="false" ht="15" hidden="false" customHeight="false" outlineLevel="0" collapsed="false">
      <c r="A207" s="11" t="s">
        <v>354</v>
      </c>
      <c r="B207" s="11" t="s">
        <v>54</v>
      </c>
      <c r="C207" s="11" t="s">
        <v>66</v>
      </c>
      <c r="D207" s="11" t="s">
        <v>55</v>
      </c>
      <c r="E207" s="11" t="s">
        <v>118</v>
      </c>
      <c r="F207" s="11" t="s">
        <v>57</v>
      </c>
      <c r="G207" s="12" t="s">
        <v>70</v>
      </c>
      <c r="H207" s="11" t="s">
        <v>171</v>
      </c>
      <c r="I207" s="11" t="s">
        <v>171</v>
      </c>
      <c r="J207" s="11" t="s">
        <v>47</v>
      </c>
      <c r="K207" s="11" t="s">
        <v>59</v>
      </c>
      <c r="L207" s="11" t="s">
        <v>74</v>
      </c>
      <c r="M207" s="11" t="s">
        <v>60</v>
      </c>
      <c r="N207" s="11" t="s">
        <v>51</v>
      </c>
      <c r="O207" s="13" t="str">
        <f aca="false">IF(AND(R207&gt;600,Q207&gt;20000),"OBEDECE",IF(AND(R207&gt;300,Q207&gt;=10000,Q207&lt;=20000),"OBEDECE",IF(AND(R207&gt;150,Q207&gt;=5000,Q207&lt;=9999),"OBEDECE",IF(AND(R207&gt;60,Q207&gt;=2000,Q207&lt;=4999),"OBEDECE",IF(AND(R207&gt;30,Q207&gt;=1000,Q207&lt;=1999),"OBEDECE",IF(AND(R207&lt;=29,Q207&lt;=1000),"OBEDECE","NÃO OBEDECE"))))))</f>
        <v>NÃO OBEDECE</v>
      </c>
      <c r="P207" s="3" t="s">
        <v>68</v>
      </c>
      <c r="Q207" s="4" t="n">
        <v>22896</v>
      </c>
      <c r="R207" s="4" t="n">
        <v>93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1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</row>
    <row r="208" customFormat="false" ht="15" hidden="false" customHeight="false" outlineLevel="0" collapsed="false">
      <c r="A208" s="11" t="s">
        <v>355</v>
      </c>
      <c r="B208" s="11" t="s">
        <v>54</v>
      </c>
      <c r="C208" s="11" t="s">
        <v>66</v>
      </c>
      <c r="D208" s="11" t="s">
        <v>42</v>
      </c>
      <c r="E208" s="11" t="s">
        <v>118</v>
      </c>
      <c r="F208" s="11" t="s">
        <v>57</v>
      </c>
      <c r="G208" s="12" t="s">
        <v>201</v>
      </c>
      <c r="H208" s="11" t="s">
        <v>171</v>
      </c>
      <c r="I208" s="11" t="s">
        <v>171</v>
      </c>
      <c r="J208" s="11" t="s">
        <v>47</v>
      </c>
      <c r="K208" s="11" t="s">
        <v>59</v>
      </c>
      <c r="L208" s="11" t="s">
        <v>74</v>
      </c>
      <c r="M208" s="11" t="s">
        <v>60</v>
      </c>
      <c r="N208" s="11" t="s">
        <v>51</v>
      </c>
      <c r="O208" s="13" t="str">
        <f aca="false">IF(AND(R208&gt;600,Q208&gt;20000),"OBEDECE",IF(AND(R208&gt;300,Q208&gt;=10000,Q208&lt;=20000),"OBEDECE",IF(AND(R208&gt;150,Q208&gt;=5000,Q208&lt;=9999),"OBEDECE",IF(AND(R208&gt;60,Q208&gt;=2000,Q208&lt;=4999),"OBEDECE",IF(AND(R208&gt;30,Q208&gt;=1000,Q208&lt;=1999),"OBEDECE",IF(AND(R208&lt;=29,Q208&lt;=1000),"OBEDECE","NÃO OBEDECE"))))))</f>
        <v>NÃO OBEDECE</v>
      </c>
      <c r="P208" s="3" t="s">
        <v>62</v>
      </c>
      <c r="Q208" s="4" t="n">
        <v>35437</v>
      </c>
      <c r="R208" s="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4" t="n">
        <v>0</v>
      </c>
      <c r="AC208" s="14" t="n">
        <v>0</v>
      </c>
      <c r="AD208" s="14" t="n">
        <v>0</v>
      </c>
      <c r="AE208" s="14" t="n">
        <v>0</v>
      </c>
      <c r="AF208" s="14" t="n">
        <v>0</v>
      </c>
      <c r="AG208" s="14" t="n">
        <v>0</v>
      </c>
      <c r="AH208" s="14" t="n">
        <v>0</v>
      </c>
      <c r="AI208" s="14" t="n">
        <v>0</v>
      </c>
      <c r="AJ208" s="14" t="n">
        <v>0</v>
      </c>
      <c r="AK208" s="14" t="n">
        <v>0</v>
      </c>
      <c r="AL208" s="14" t="n">
        <v>0</v>
      </c>
      <c r="AM208" s="14" t="n">
        <v>0</v>
      </c>
    </row>
    <row r="209" customFormat="false" ht="13" hidden="false" customHeight="false" outlineLevel="0" collapsed="false">
      <c r="A209" s="19" t="n">
        <v>43149</v>
      </c>
      <c r="B209" s="13" t="s">
        <v>40</v>
      </c>
      <c r="C209" s="13" t="s">
        <v>66</v>
      </c>
      <c r="D209" s="13" t="s">
        <v>42</v>
      </c>
      <c r="E209" s="13" t="s">
        <v>43</v>
      </c>
      <c r="F209" s="13" t="s">
        <v>44</v>
      </c>
      <c r="G209" s="12" t="s">
        <v>45</v>
      </c>
      <c r="H209" s="13" t="s">
        <v>171</v>
      </c>
      <c r="I209" s="18"/>
      <c r="J209" s="13" t="s">
        <v>46</v>
      </c>
      <c r="K209" s="13" t="s">
        <v>48</v>
      </c>
      <c r="L209" s="13" t="s">
        <v>135</v>
      </c>
      <c r="M209" s="13" t="s">
        <v>50</v>
      </c>
      <c r="N209" s="13" t="s">
        <v>61</v>
      </c>
      <c r="O209" s="13" t="str">
        <f aca="false">IF(AND(R209&gt;600,Q209&gt;20000),"OBEDECE",IF(AND(R209&gt;300,Q209&gt;=10000,Q209&lt;=20000),"OBEDECE",IF(AND(R209&gt;150,Q209&gt;=5000,Q209&lt;=9999),"OBEDECE",IF(AND(R209&gt;60,Q209&gt;=2000,Q209&lt;=4999),"OBEDECE",IF(AND(R209&gt;30,Q209&gt;=1000,Q209&lt;=1999),"OBEDECE",IF(AND(R209&lt;=29,Q209&lt;=1000),"OBEDECE","NÃO OBEDECE"))))))</f>
        <v>OBEDECE</v>
      </c>
      <c r="P209" s="17" t="s">
        <v>52</v>
      </c>
      <c r="Q209" s="18" t="n">
        <v>19540</v>
      </c>
      <c r="R209" s="18" t="n">
        <v>468</v>
      </c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/>
      <c r="DH209" s="18"/>
      <c r="DI209" s="18"/>
      <c r="DJ209" s="18"/>
      <c r="DK209" s="18"/>
      <c r="DL209" s="18"/>
      <c r="DM209" s="18"/>
      <c r="DN209" s="18"/>
      <c r="DO209" s="18"/>
      <c r="DP209" s="18"/>
      <c r="DQ209" s="18"/>
      <c r="DR209" s="18"/>
      <c r="DS209" s="18"/>
      <c r="DT209" s="18"/>
      <c r="DU209" s="18"/>
      <c r="DV209" s="18"/>
      <c r="DW209" s="18"/>
      <c r="DX209" s="18"/>
      <c r="DY209" s="18"/>
      <c r="DZ209" s="18"/>
      <c r="EA209" s="18"/>
      <c r="EB209" s="18"/>
      <c r="EC209" s="18"/>
      <c r="ED209" s="18"/>
      <c r="EE209" s="18"/>
      <c r="EF209" s="18"/>
      <c r="EG209" s="18"/>
      <c r="EH209" s="18"/>
      <c r="EI209" s="18"/>
      <c r="EJ209" s="18"/>
      <c r="EK209" s="18"/>
      <c r="EL209" s="18"/>
      <c r="EM209" s="18"/>
      <c r="EN209" s="18"/>
      <c r="EO209" s="18"/>
      <c r="EP209" s="18"/>
      <c r="EQ209" s="18"/>
      <c r="ER209" s="18"/>
      <c r="ES209" s="18"/>
      <c r="ET209" s="18"/>
      <c r="EU209" s="18"/>
      <c r="EV209" s="18"/>
      <c r="EW209" s="18"/>
      <c r="EX209" s="18"/>
      <c r="EY209" s="18"/>
      <c r="EZ209" s="18"/>
      <c r="FA209" s="18"/>
      <c r="FB209" s="18"/>
      <c r="FC209" s="18"/>
      <c r="FD209" s="18"/>
      <c r="FE209" s="18"/>
      <c r="FF209" s="18"/>
      <c r="FG209" s="18"/>
      <c r="FH209" s="18"/>
      <c r="FI209" s="18"/>
      <c r="FJ209" s="18"/>
      <c r="FK209" s="18"/>
      <c r="FL209" s="18"/>
      <c r="FM209" s="18"/>
      <c r="FN209" s="18"/>
      <c r="FO209" s="18"/>
      <c r="FP209" s="18"/>
      <c r="FQ209" s="18"/>
      <c r="FR209" s="18"/>
      <c r="FS209" s="18"/>
      <c r="FT209" s="18"/>
      <c r="FU209" s="18"/>
      <c r="FV209" s="18"/>
      <c r="FW209" s="18"/>
      <c r="FX209" s="18"/>
      <c r="FY209" s="18"/>
      <c r="FZ209" s="18"/>
      <c r="GA209" s="18"/>
      <c r="GB209" s="18"/>
      <c r="GC209" s="18"/>
      <c r="GD209" s="18"/>
      <c r="GE209" s="18"/>
      <c r="GF209" s="18"/>
      <c r="GG209" s="18"/>
      <c r="GH209" s="18"/>
      <c r="GI209" s="18"/>
      <c r="GJ209" s="18"/>
      <c r="GK209" s="18"/>
      <c r="GL209" s="18"/>
      <c r="GM209" s="18"/>
      <c r="GN209" s="18"/>
      <c r="GO209" s="18"/>
      <c r="GP209" s="18"/>
      <c r="GQ209" s="18"/>
      <c r="GR209" s="18"/>
      <c r="GS209" s="18"/>
      <c r="GT209" s="18"/>
      <c r="GU209" s="18"/>
      <c r="GV209" s="18"/>
      <c r="GW209" s="18"/>
      <c r="GX209" s="18"/>
      <c r="GY209" s="18"/>
      <c r="GZ209" s="18"/>
      <c r="HA209" s="18"/>
      <c r="HB209" s="18"/>
      <c r="HC209" s="18"/>
      <c r="HD209" s="18"/>
      <c r="HE209" s="18"/>
      <c r="HF209" s="18"/>
      <c r="HG209" s="18"/>
      <c r="HH209" s="18"/>
      <c r="HI209" s="18"/>
      <c r="HJ209" s="18"/>
      <c r="HK209" s="18"/>
      <c r="HL209" s="18"/>
      <c r="HM209" s="18"/>
      <c r="HN209" s="18"/>
      <c r="HO209" s="18"/>
      <c r="HP209" s="18"/>
      <c r="HQ209" s="18"/>
      <c r="HR209" s="18"/>
      <c r="HS209" s="18"/>
      <c r="HT209" s="18"/>
      <c r="HU209" s="18"/>
      <c r="HV209" s="18"/>
      <c r="HW209" s="18"/>
      <c r="HX209" s="18"/>
      <c r="HY209" s="18"/>
      <c r="HZ209" s="18"/>
      <c r="IA209" s="18"/>
      <c r="IB209" s="18"/>
      <c r="IC209" s="18"/>
      <c r="ID209" s="18"/>
      <c r="IE209" s="18"/>
      <c r="IF209" s="18"/>
      <c r="IG209" s="18"/>
      <c r="IH209" s="18"/>
      <c r="II209" s="18"/>
      <c r="IJ209" s="18"/>
      <c r="IK209" s="18"/>
      <c r="IL209" s="18"/>
      <c r="IM209" s="18"/>
      <c r="IN209" s="18"/>
      <c r="IO209" s="18"/>
      <c r="IP209" s="18"/>
      <c r="IQ209" s="18"/>
      <c r="IR209" s="18"/>
      <c r="IS209" s="18"/>
      <c r="IT209" s="18"/>
      <c r="IU209" s="18"/>
      <c r="IV209" s="18"/>
      <c r="IW209" s="18"/>
    </row>
    <row r="210" customFormat="false" ht="15" hidden="false" customHeight="false" outlineLevel="0" collapsed="false">
      <c r="A210" s="16" t="s">
        <v>356</v>
      </c>
      <c r="B210" s="13" t="s">
        <v>40</v>
      </c>
      <c r="C210" s="13" t="s">
        <v>41</v>
      </c>
      <c r="D210" s="13" t="s">
        <v>42</v>
      </c>
      <c r="E210" s="13" t="s">
        <v>118</v>
      </c>
      <c r="F210" s="13" t="s">
        <v>57</v>
      </c>
      <c r="G210" s="12" t="s">
        <v>64</v>
      </c>
      <c r="H210" s="13" t="s">
        <v>171</v>
      </c>
      <c r="I210" s="13" t="s">
        <v>171</v>
      </c>
      <c r="J210" s="13" t="s">
        <v>171</v>
      </c>
      <c r="K210" s="13" t="s">
        <v>48</v>
      </c>
      <c r="L210" s="13" t="s">
        <v>49</v>
      </c>
      <c r="M210" s="13" t="s">
        <v>60</v>
      </c>
      <c r="N210" s="13" t="s">
        <v>51</v>
      </c>
      <c r="O210" s="13" t="str">
        <f aca="false">IF(AND(R210&gt;600,Q210&gt;20000),"OBEDECE",IF(AND(R210&gt;300,Q210&gt;=10000,Q210&lt;=20000),"OBEDECE",IF(AND(R210&gt;150,Q210&gt;=5000,Q210&lt;=9999),"OBEDECE",IF(AND(R210&gt;60,Q210&gt;=2000,Q210&lt;=4999),"OBEDECE",IF(AND(R210&gt;30,Q210&gt;=1000,Q210&lt;=1999),"OBEDECE",IF(AND(R210&lt;=29,Q210&lt;=1000),"OBEDECE","NÃO OBEDECE"))))))</f>
        <v>NÃO OBEDECE</v>
      </c>
      <c r="P210" s="17" t="s">
        <v>52</v>
      </c>
      <c r="Q210" s="18" t="n">
        <v>30142</v>
      </c>
      <c r="R210" s="18" t="n">
        <v>150</v>
      </c>
      <c r="S210" s="20" t="n">
        <v>0</v>
      </c>
      <c r="T210" s="20" t="n">
        <v>0</v>
      </c>
      <c r="U210" s="20" t="n">
        <v>0</v>
      </c>
      <c r="V210" s="20" t="n">
        <v>0</v>
      </c>
      <c r="W210" s="20" t="n">
        <v>0</v>
      </c>
      <c r="X210" s="20" t="n">
        <v>0</v>
      </c>
      <c r="Y210" s="20" t="n">
        <v>0</v>
      </c>
      <c r="Z210" s="20" t="n">
        <v>0</v>
      </c>
      <c r="AA210" s="20" t="n">
        <v>0</v>
      </c>
      <c r="AB210" s="20" t="n">
        <v>0</v>
      </c>
      <c r="AC210" s="20" t="n">
        <v>0</v>
      </c>
      <c r="AD210" s="20" t="n">
        <v>0</v>
      </c>
      <c r="AE210" s="20" t="n">
        <v>0</v>
      </c>
      <c r="AF210" s="20" t="n">
        <v>0</v>
      </c>
      <c r="AG210" s="20" t="n">
        <v>0</v>
      </c>
      <c r="AH210" s="20" t="n">
        <v>1</v>
      </c>
      <c r="AI210" s="20" t="n">
        <v>0</v>
      </c>
      <c r="AJ210" s="20" t="n">
        <v>0</v>
      </c>
      <c r="AK210" s="20" t="n">
        <v>1</v>
      </c>
      <c r="AL210" s="20" t="n">
        <v>0</v>
      </c>
      <c r="AM210" s="20" t="n">
        <v>0</v>
      </c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/>
      <c r="DH210" s="18"/>
      <c r="DI210" s="18"/>
      <c r="DJ210" s="18"/>
      <c r="DK210" s="18"/>
      <c r="DL210" s="18"/>
      <c r="DM210" s="18"/>
      <c r="DN210" s="18"/>
      <c r="DO210" s="18"/>
      <c r="DP210" s="18"/>
      <c r="DQ210" s="18"/>
      <c r="DR210" s="18"/>
      <c r="DS210" s="18"/>
      <c r="DT210" s="18"/>
      <c r="DU210" s="18"/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8"/>
      <c r="EG210" s="18"/>
      <c r="EH210" s="18"/>
      <c r="EI210" s="18"/>
      <c r="EJ210" s="18"/>
      <c r="EK210" s="18"/>
      <c r="EL210" s="18"/>
      <c r="EM210" s="18"/>
      <c r="EN210" s="18"/>
      <c r="EO210" s="18"/>
      <c r="EP210" s="18"/>
      <c r="EQ210" s="18"/>
      <c r="ER210" s="18"/>
      <c r="ES210" s="18"/>
      <c r="ET210" s="18"/>
      <c r="EU210" s="18"/>
      <c r="EV210" s="18"/>
      <c r="EW210" s="18"/>
      <c r="EX210" s="18"/>
      <c r="EY210" s="18"/>
      <c r="EZ210" s="18"/>
      <c r="FA210" s="18"/>
      <c r="FB210" s="18"/>
      <c r="FC210" s="18"/>
      <c r="FD210" s="18"/>
      <c r="FE210" s="18"/>
      <c r="FF210" s="18"/>
      <c r="FG210" s="18"/>
      <c r="FH210" s="18"/>
      <c r="FI210" s="18"/>
      <c r="FJ210" s="18"/>
      <c r="FK210" s="18"/>
      <c r="FL210" s="18"/>
      <c r="FM210" s="18"/>
      <c r="FN210" s="18"/>
      <c r="FO210" s="18"/>
      <c r="FP210" s="18"/>
      <c r="FQ210" s="18"/>
      <c r="FR210" s="18"/>
      <c r="FS210" s="18"/>
      <c r="FT210" s="18"/>
      <c r="FU210" s="18"/>
      <c r="FV210" s="18"/>
      <c r="FW210" s="18"/>
      <c r="FX210" s="18"/>
      <c r="FY210" s="18"/>
      <c r="FZ210" s="18"/>
      <c r="GA210" s="18"/>
      <c r="GB210" s="18"/>
      <c r="GC210" s="18"/>
      <c r="GD210" s="18"/>
      <c r="GE210" s="18"/>
      <c r="GF210" s="18"/>
      <c r="GG210" s="18"/>
      <c r="GH210" s="18"/>
      <c r="GI210" s="18"/>
      <c r="GJ210" s="18"/>
      <c r="GK210" s="18"/>
      <c r="GL210" s="18"/>
      <c r="GM210" s="18"/>
      <c r="GN210" s="18"/>
      <c r="GO210" s="18"/>
      <c r="GP210" s="18"/>
      <c r="GQ210" s="18"/>
      <c r="GR210" s="18"/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/>
      <c r="HT210" s="18"/>
      <c r="HU210" s="18"/>
      <c r="HV210" s="18"/>
      <c r="HW210" s="18"/>
      <c r="HX210" s="18"/>
      <c r="HY210" s="18"/>
      <c r="HZ210" s="18"/>
      <c r="IA210" s="18"/>
      <c r="IB210" s="18"/>
      <c r="IC210" s="18"/>
      <c r="ID210" s="18"/>
      <c r="IE210" s="18"/>
      <c r="IF210" s="18"/>
      <c r="IG210" s="18"/>
      <c r="IH210" s="18"/>
      <c r="II210" s="18"/>
      <c r="IJ210" s="18"/>
      <c r="IK210" s="18"/>
      <c r="IL210" s="18"/>
      <c r="IM210" s="18"/>
      <c r="IN210" s="18"/>
      <c r="IO210" s="18"/>
      <c r="IP210" s="18"/>
      <c r="IQ210" s="18"/>
      <c r="IR210" s="18"/>
      <c r="IS210" s="18"/>
      <c r="IT210" s="18"/>
      <c r="IU210" s="18"/>
      <c r="IV210" s="18"/>
      <c r="IW210" s="18"/>
    </row>
    <row r="211" customFormat="false" ht="15" hidden="false" customHeight="false" outlineLevel="0" collapsed="false">
      <c r="A211" s="16" t="s">
        <v>357</v>
      </c>
      <c r="B211" s="13" t="s">
        <v>40</v>
      </c>
      <c r="C211" s="13" t="s">
        <v>41</v>
      </c>
      <c r="D211" s="13" t="s">
        <v>42</v>
      </c>
      <c r="E211" s="13" t="s">
        <v>118</v>
      </c>
      <c r="F211" s="13" t="s">
        <v>44</v>
      </c>
      <c r="G211" s="12" t="s">
        <v>45</v>
      </c>
      <c r="H211" s="13" t="s">
        <v>171</v>
      </c>
      <c r="I211" s="13" t="s">
        <v>171</v>
      </c>
      <c r="J211" s="13" t="s">
        <v>171</v>
      </c>
      <c r="K211" s="13" t="s">
        <v>48</v>
      </c>
      <c r="L211" s="13" t="s">
        <v>49</v>
      </c>
      <c r="M211" s="13" t="s">
        <v>60</v>
      </c>
      <c r="N211" s="13" t="s">
        <v>61</v>
      </c>
      <c r="O211" s="13" t="str">
        <f aca="false">IF(AND(R211&gt;600,Q211&gt;20000),"OBEDECE",IF(AND(R211&gt;300,Q211&gt;=10000,Q211&lt;=20000),"OBEDECE",IF(AND(R211&gt;150,Q211&gt;=5000,Q211&lt;=9999),"OBEDECE",IF(AND(R211&gt;60,Q211&gt;=2000,Q211&lt;=4999),"OBEDECE",IF(AND(R211&gt;30,Q211&gt;=1000,Q211&lt;=1999),"OBEDECE",IF(AND(R211&lt;=29,Q211&lt;=1000),"OBEDECE","NÃO OBEDECE"))))))</f>
        <v>NÃO OBEDECE</v>
      </c>
      <c r="P211" s="17" t="s">
        <v>52</v>
      </c>
      <c r="Q211" s="18" t="n">
        <v>18336</v>
      </c>
      <c r="R211" s="18" t="n">
        <v>150</v>
      </c>
      <c r="S211" s="20" t="n">
        <v>0</v>
      </c>
      <c r="T211" s="20" t="n">
        <v>0</v>
      </c>
      <c r="U211" s="20" t="n">
        <v>0</v>
      </c>
      <c r="V211" s="20" t="n">
        <v>0</v>
      </c>
      <c r="W211" s="20" t="n">
        <v>0</v>
      </c>
      <c r="X211" s="20" t="n">
        <v>1</v>
      </c>
      <c r="Y211" s="20" t="n">
        <v>0</v>
      </c>
      <c r="Z211" s="20" t="n">
        <v>0</v>
      </c>
      <c r="AA211" s="20" t="n">
        <v>0</v>
      </c>
      <c r="AB211" s="20" t="n">
        <v>0</v>
      </c>
      <c r="AC211" s="20" t="n">
        <v>0</v>
      </c>
      <c r="AD211" s="20" t="n">
        <v>0</v>
      </c>
      <c r="AE211" s="20" t="n">
        <v>0</v>
      </c>
      <c r="AF211" s="20" t="n">
        <v>0</v>
      </c>
      <c r="AG211" s="20" t="n">
        <v>0</v>
      </c>
      <c r="AH211" s="20" t="n">
        <v>0</v>
      </c>
      <c r="AI211" s="20" t="n">
        <v>0</v>
      </c>
      <c r="AJ211" s="20" t="n">
        <v>0</v>
      </c>
      <c r="AK211" s="20" t="n">
        <v>3</v>
      </c>
      <c r="AL211" s="20" t="n">
        <v>0</v>
      </c>
      <c r="AM211" s="20" t="n">
        <v>0</v>
      </c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8"/>
      <c r="IG211" s="18"/>
      <c r="IH211" s="18"/>
      <c r="II211" s="18"/>
      <c r="IJ211" s="18"/>
      <c r="IK211" s="18"/>
      <c r="IL211" s="18"/>
      <c r="IM211" s="18"/>
      <c r="IN211" s="18"/>
      <c r="IO211" s="18"/>
      <c r="IP211" s="18"/>
      <c r="IQ211" s="18"/>
      <c r="IR211" s="18"/>
      <c r="IS211" s="18"/>
      <c r="IT211" s="18"/>
      <c r="IU211" s="18"/>
      <c r="IV211" s="18"/>
      <c r="IW211" s="18"/>
    </row>
    <row r="212" customFormat="false" ht="13" hidden="false" customHeight="false" outlineLevel="0" collapsed="false">
      <c r="A212" s="19" t="n">
        <v>43303</v>
      </c>
      <c r="B212" s="13" t="s">
        <v>40</v>
      </c>
      <c r="C212" s="13" t="s">
        <v>66</v>
      </c>
      <c r="D212" s="13" t="s">
        <v>42</v>
      </c>
      <c r="E212" s="13" t="s">
        <v>118</v>
      </c>
      <c r="F212" s="13" t="s">
        <v>57</v>
      </c>
      <c r="G212" s="12" t="s">
        <v>64</v>
      </c>
      <c r="H212" s="13" t="s">
        <v>171</v>
      </c>
      <c r="I212" s="13" t="s">
        <v>171</v>
      </c>
      <c r="J212" s="13" t="s">
        <v>171</v>
      </c>
      <c r="K212" s="13" t="s">
        <v>59</v>
      </c>
      <c r="L212" s="13" t="s">
        <v>77</v>
      </c>
      <c r="M212" s="13" t="s">
        <v>60</v>
      </c>
      <c r="N212" s="13" t="s">
        <v>51</v>
      </c>
      <c r="O212" s="13" t="str">
        <f aca="false">IF(AND(R212&gt;600,Q212&gt;20000),"OBEDECE",IF(AND(R212&gt;300,Q212&gt;=10000,Q212&lt;=20000),"OBEDECE",IF(AND(R212&gt;150,Q212&gt;=5000,Q212&lt;=9999),"OBEDECE",IF(AND(R212&gt;60,Q212&gt;=2000,Q212&lt;=4999),"OBEDECE",IF(AND(R212&gt;30,Q212&gt;=1000,Q212&lt;=1999),"OBEDECE",IF(AND(R212&lt;=29,Q212&lt;=1000),"OBEDECE","NÃO OBEDECE"))))))</f>
        <v>NÃO OBEDECE</v>
      </c>
      <c r="P212" s="21" t="s">
        <v>68</v>
      </c>
      <c r="Q212" s="18" t="n">
        <v>24312</v>
      </c>
      <c r="R212" s="18" t="n">
        <v>212</v>
      </c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/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/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/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/>
      <c r="HT212" s="18"/>
      <c r="HU212" s="18"/>
      <c r="HV212" s="18"/>
      <c r="HW212" s="18"/>
      <c r="HX212" s="18"/>
      <c r="HY212" s="18"/>
      <c r="HZ212" s="18"/>
      <c r="IA212" s="18"/>
      <c r="IB212" s="18"/>
      <c r="IC212" s="18"/>
      <c r="ID212" s="18"/>
      <c r="IE212" s="18"/>
      <c r="IF212" s="18"/>
      <c r="IG212" s="18"/>
      <c r="IH212" s="18"/>
      <c r="II212" s="18"/>
      <c r="IJ212" s="18"/>
      <c r="IK212" s="18"/>
      <c r="IL212" s="18"/>
      <c r="IM212" s="18"/>
      <c r="IN212" s="18"/>
      <c r="IO212" s="18"/>
      <c r="IP212" s="18"/>
      <c r="IQ212" s="18"/>
      <c r="IR212" s="18"/>
      <c r="IS212" s="18"/>
      <c r="IT212" s="18"/>
      <c r="IU212" s="18"/>
      <c r="IV212" s="18"/>
      <c r="IW212" s="18"/>
    </row>
    <row r="213" customFormat="false" ht="13" hidden="false" customHeight="false" outlineLevel="0" collapsed="false">
      <c r="A213" s="19" t="n">
        <v>43415</v>
      </c>
      <c r="B213" s="13" t="s">
        <v>40</v>
      </c>
      <c r="C213" s="13" t="s">
        <v>41</v>
      </c>
      <c r="D213" s="13" t="s">
        <v>42</v>
      </c>
      <c r="E213" s="13" t="s">
        <v>43</v>
      </c>
      <c r="F213" s="13" t="s">
        <v>44</v>
      </c>
      <c r="G213" s="12" t="s">
        <v>45</v>
      </c>
      <c r="H213" s="13" t="s">
        <v>171</v>
      </c>
      <c r="I213" s="18"/>
      <c r="J213" s="13" t="s">
        <v>171</v>
      </c>
      <c r="K213" s="13" t="s">
        <v>59</v>
      </c>
      <c r="L213" s="13" t="s">
        <v>77</v>
      </c>
      <c r="M213" s="13" t="s">
        <v>60</v>
      </c>
      <c r="N213" s="13" t="s">
        <v>51</v>
      </c>
      <c r="O213" s="13" t="str">
        <f aca="false">IF(AND(R213&gt;600,Q213&gt;20000),"OBEDECE",IF(AND(R213&gt;300,Q213&gt;=10000,Q213&lt;=20000),"OBEDECE",IF(AND(R213&gt;150,Q213&gt;=5000,Q213&lt;=9999),"OBEDECE",IF(AND(R213&gt;60,Q213&gt;=2000,Q213&lt;=4999),"OBEDECE",IF(AND(R213&gt;30,Q213&gt;=1000,Q213&lt;=1999),"OBEDECE",IF(AND(R213&lt;=29,Q213&lt;=1000),"OBEDECE","NÃO OBEDECE"))))))</f>
        <v>NÃO OBEDECE</v>
      </c>
      <c r="P213" s="21" t="s">
        <v>62</v>
      </c>
      <c r="Q213" s="18" t="n">
        <v>21714</v>
      </c>
      <c r="R213" s="18" t="n">
        <v>318</v>
      </c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/>
      <c r="DH213" s="18"/>
      <c r="DI213" s="18"/>
      <c r="DJ213" s="18"/>
      <c r="DK213" s="18"/>
      <c r="DL213" s="18"/>
      <c r="DM213" s="18"/>
      <c r="DN213" s="18"/>
      <c r="DO213" s="18"/>
      <c r="DP213" s="18"/>
      <c r="DQ213" s="18"/>
      <c r="DR213" s="18"/>
      <c r="DS213" s="18"/>
      <c r="DT213" s="18"/>
      <c r="DU213" s="18"/>
      <c r="DV213" s="18"/>
      <c r="DW213" s="18"/>
      <c r="DX213" s="18"/>
      <c r="DY213" s="18"/>
      <c r="DZ213" s="18"/>
      <c r="EA213" s="18"/>
      <c r="EB213" s="18"/>
      <c r="EC213" s="18"/>
      <c r="ED213" s="18"/>
      <c r="EE213" s="18"/>
      <c r="EF213" s="18"/>
      <c r="EG213" s="18"/>
      <c r="EH213" s="18"/>
      <c r="EI213" s="18"/>
      <c r="EJ213" s="18"/>
      <c r="EK213" s="18"/>
      <c r="EL213" s="18"/>
      <c r="EM213" s="18"/>
      <c r="EN213" s="18"/>
      <c r="EO213" s="18"/>
      <c r="EP213" s="18"/>
      <c r="EQ213" s="18"/>
      <c r="ER213" s="18"/>
      <c r="ES213" s="18"/>
      <c r="ET213" s="18"/>
      <c r="EU213" s="18"/>
      <c r="EV213" s="18"/>
      <c r="EW213" s="18"/>
      <c r="EX213" s="18"/>
      <c r="EY213" s="18"/>
      <c r="EZ213" s="18"/>
      <c r="FA213" s="18"/>
      <c r="FB213" s="18"/>
      <c r="FC213" s="18"/>
      <c r="FD213" s="18"/>
      <c r="FE213" s="18"/>
      <c r="FF213" s="18"/>
      <c r="FG213" s="18"/>
      <c r="FH213" s="18"/>
      <c r="FI213" s="18"/>
      <c r="FJ213" s="18"/>
      <c r="FK213" s="18"/>
      <c r="FL213" s="18"/>
      <c r="FM213" s="18"/>
      <c r="FN213" s="18"/>
      <c r="FO213" s="18"/>
      <c r="FP213" s="18"/>
      <c r="FQ213" s="18"/>
      <c r="FR213" s="18"/>
      <c r="FS213" s="18"/>
      <c r="FT213" s="18"/>
      <c r="FU213" s="18"/>
      <c r="FV213" s="18"/>
      <c r="FW213" s="18"/>
      <c r="FX213" s="18"/>
      <c r="FY213" s="18"/>
      <c r="FZ213" s="18"/>
      <c r="GA213" s="18"/>
      <c r="GB213" s="18"/>
      <c r="GC213" s="18"/>
      <c r="GD213" s="18"/>
      <c r="GE213" s="18"/>
      <c r="GF213" s="18"/>
      <c r="GG213" s="18"/>
      <c r="GH213" s="18"/>
      <c r="GI213" s="18"/>
      <c r="GJ213" s="18"/>
      <c r="GK213" s="18"/>
      <c r="GL213" s="18"/>
      <c r="GM213" s="18"/>
      <c r="GN213" s="18"/>
      <c r="GO213" s="18"/>
      <c r="GP213" s="18"/>
      <c r="GQ213" s="18"/>
      <c r="GR213" s="18"/>
      <c r="GS213" s="18"/>
      <c r="GT213" s="18"/>
      <c r="GU213" s="18"/>
      <c r="GV213" s="18"/>
      <c r="GW213" s="18"/>
      <c r="GX213" s="18"/>
      <c r="GY213" s="18"/>
      <c r="GZ213" s="18"/>
      <c r="HA213" s="18"/>
      <c r="HB213" s="18"/>
      <c r="HC213" s="18"/>
      <c r="HD213" s="18"/>
      <c r="HE213" s="18"/>
      <c r="HF213" s="18"/>
      <c r="HG213" s="18"/>
      <c r="HH213" s="18"/>
      <c r="HI213" s="18"/>
      <c r="HJ213" s="18"/>
      <c r="HK213" s="18"/>
      <c r="HL213" s="18"/>
      <c r="HM213" s="18"/>
      <c r="HN213" s="18"/>
      <c r="HO213" s="18"/>
      <c r="HP213" s="18"/>
      <c r="HQ213" s="18"/>
      <c r="HR213" s="18"/>
      <c r="HS213" s="18"/>
      <c r="HT213" s="18"/>
      <c r="HU213" s="18"/>
      <c r="HV213" s="18"/>
      <c r="HW213" s="18"/>
      <c r="HX213" s="18"/>
      <c r="HY213" s="18"/>
      <c r="HZ213" s="18"/>
      <c r="IA213" s="18"/>
      <c r="IB213" s="18"/>
      <c r="IC213" s="18"/>
      <c r="ID213" s="18"/>
      <c r="IE213" s="18"/>
      <c r="IF213" s="18"/>
      <c r="IG213" s="18"/>
      <c r="IH213" s="18"/>
      <c r="II213" s="18"/>
      <c r="IJ213" s="18"/>
      <c r="IK213" s="18"/>
      <c r="IL213" s="18"/>
      <c r="IM213" s="18"/>
      <c r="IN213" s="18"/>
      <c r="IO213" s="18"/>
      <c r="IP213" s="18"/>
      <c r="IQ213" s="18"/>
      <c r="IR213" s="18"/>
      <c r="IS213" s="18"/>
      <c r="IT213" s="18"/>
      <c r="IU213" s="18"/>
      <c r="IV213" s="18"/>
      <c r="IW213" s="18"/>
    </row>
    <row r="214" customFormat="false" ht="15" hidden="false" customHeight="false" outlineLevel="0" collapsed="false">
      <c r="A214" s="11" t="s">
        <v>358</v>
      </c>
      <c r="B214" s="11" t="s">
        <v>54</v>
      </c>
      <c r="C214" s="11" t="s">
        <v>66</v>
      </c>
      <c r="D214" s="11" t="s">
        <v>55</v>
      </c>
      <c r="E214" s="11" t="s">
        <v>118</v>
      </c>
      <c r="F214" s="11" t="s">
        <v>57</v>
      </c>
      <c r="G214" s="15" t="s">
        <v>221</v>
      </c>
      <c r="H214" s="11" t="s">
        <v>171</v>
      </c>
      <c r="I214" s="11" t="s">
        <v>171</v>
      </c>
      <c r="J214" s="11" t="s">
        <v>47</v>
      </c>
      <c r="K214" s="11" t="s">
        <v>48</v>
      </c>
      <c r="L214" s="11" t="s">
        <v>74</v>
      </c>
      <c r="M214" s="11" t="s">
        <v>50</v>
      </c>
      <c r="N214" s="11" t="s">
        <v>61</v>
      </c>
      <c r="O214" s="13" t="str">
        <f aca="false">IF(AND(R214&gt;600,Q214&gt;20000),"OBEDECE",IF(AND(R214&gt;300,Q214&gt;=10000,Q214&lt;=20000),"OBEDECE",IF(AND(R214&gt;150,Q214&gt;=5000,Q214&lt;=9999),"OBEDECE",IF(AND(R214&gt;60,Q214&gt;=2000,Q214&lt;=4999),"OBEDECE",IF(AND(R214&gt;30,Q214&gt;=1000,Q214&lt;=1999),"OBEDECE",IF(AND(R214&lt;=29,Q214&lt;=1000),"OBEDECE","NÃO OBEDECE"))))))</f>
        <v>NÃO OBEDECE</v>
      </c>
      <c r="P214" s="3" t="s">
        <v>62</v>
      </c>
      <c r="Q214" s="4" t="n">
        <v>19388</v>
      </c>
      <c r="R214" s="4" t="n">
        <v>60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14" t="n">
        <v>0</v>
      </c>
      <c r="AB214" s="14" t="n">
        <v>0</v>
      </c>
      <c r="AC214" s="14" t="n">
        <v>0</v>
      </c>
      <c r="AD214" s="14" t="n">
        <v>0</v>
      </c>
      <c r="AE214" s="14" t="n">
        <v>0</v>
      </c>
      <c r="AF214" s="14" t="n">
        <v>0</v>
      </c>
      <c r="AG214" s="14" t="n">
        <v>0</v>
      </c>
      <c r="AH214" s="14" t="n">
        <v>0</v>
      </c>
      <c r="AI214" s="14" t="n">
        <v>0</v>
      </c>
      <c r="AJ214" s="14" t="n">
        <v>0</v>
      </c>
      <c r="AK214" s="14" t="n">
        <v>0</v>
      </c>
      <c r="AL214" s="14" t="n">
        <v>0</v>
      </c>
      <c r="AM214" s="14" t="n">
        <v>0</v>
      </c>
    </row>
    <row r="215" customFormat="false" ht="15" hidden="false" customHeight="false" outlineLevel="0" collapsed="false">
      <c r="A215" s="11" t="s">
        <v>359</v>
      </c>
      <c r="B215" s="11" t="s">
        <v>54</v>
      </c>
      <c r="C215" s="11" t="s">
        <v>66</v>
      </c>
      <c r="D215" s="11" t="s">
        <v>55</v>
      </c>
      <c r="E215" s="11" t="s">
        <v>118</v>
      </c>
      <c r="F215" s="11" t="s">
        <v>57</v>
      </c>
      <c r="G215" s="12" t="s">
        <v>116</v>
      </c>
      <c r="H215" s="11" t="s">
        <v>171</v>
      </c>
      <c r="I215" s="11" t="s">
        <v>171</v>
      </c>
      <c r="J215" s="11" t="s">
        <v>47</v>
      </c>
      <c r="K215" s="11" t="s">
        <v>48</v>
      </c>
      <c r="L215" s="11" t="s">
        <v>74</v>
      </c>
      <c r="M215" s="11" t="s">
        <v>60</v>
      </c>
      <c r="N215" s="11" t="s">
        <v>61</v>
      </c>
      <c r="O215" s="13" t="str">
        <f aca="false">IF(AND(R215&gt;600,Q215&gt;20000),"OBEDECE",IF(AND(R215&gt;300,Q215&gt;=10000,Q215&lt;=20000),"OBEDECE",IF(AND(R215&gt;150,Q215&gt;=5000,Q215&lt;=9999),"OBEDECE",IF(AND(R215&gt;60,Q215&gt;=2000,Q215&lt;=4999),"OBEDECE",IF(AND(R215&gt;30,Q215&gt;=1000,Q215&lt;=1999),"OBEDECE",IF(AND(R215&lt;=29,Q215&lt;=1000),"OBEDECE","NÃO OBEDECE"))))))</f>
        <v>NÃO OBEDECE</v>
      </c>
      <c r="P215" s="3" t="s">
        <v>62</v>
      </c>
      <c r="Q215" s="4" t="n">
        <v>13987</v>
      </c>
      <c r="R215" s="4" t="n">
        <v>102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</row>
    <row r="216" customFormat="false" ht="15" hidden="false" customHeight="false" outlineLevel="0" collapsed="false">
      <c r="A216" s="11" t="s">
        <v>360</v>
      </c>
      <c r="B216" s="11" t="s">
        <v>54</v>
      </c>
      <c r="C216" s="11" t="s">
        <v>66</v>
      </c>
      <c r="D216" s="11" t="s">
        <v>55</v>
      </c>
      <c r="E216" s="11" t="s">
        <v>118</v>
      </c>
      <c r="F216" s="11" t="s">
        <v>57</v>
      </c>
      <c r="G216" s="12" t="s">
        <v>122</v>
      </c>
      <c r="H216" s="11" t="s">
        <v>171</v>
      </c>
      <c r="I216" s="11" t="s">
        <v>171</v>
      </c>
      <c r="J216" s="11" t="s">
        <v>47</v>
      </c>
      <c r="K216" s="11" t="s">
        <v>48</v>
      </c>
      <c r="L216" s="11" t="s">
        <v>135</v>
      </c>
      <c r="M216" s="11" t="s">
        <v>60</v>
      </c>
      <c r="N216" s="11" t="s">
        <v>61</v>
      </c>
      <c r="O216" s="13" t="str">
        <f aca="false">IF(AND(R216&gt;600,Q216&gt;20000),"OBEDECE",IF(AND(R216&gt;300,Q216&gt;=10000,Q216&lt;=20000),"OBEDECE",IF(AND(R216&gt;150,Q216&gt;=5000,Q216&lt;=9999),"OBEDECE",IF(AND(R216&gt;60,Q216&gt;=2000,Q216&lt;=4999),"OBEDECE",IF(AND(R216&gt;30,Q216&gt;=1000,Q216&lt;=1999),"OBEDECE",IF(AND(R216&lt;=29,Q216&lt;=1000),"OBEDECE","NÃO OBEDECE"))))))</f>
        <v>NÃO OBEDECE</v>
      </c>
      <c r="P216" s="3" t="s">
        <v>62</v>
      </c>
      <c r="Q216" s="4" t="n">
        <v>10825</v>
      </c>
      <c r="R216" s="4" t="n">
        <v>99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14" t="n">
        <v>0</v>
      </c>
      <c r="AB216" s="14" t="n">
        <v>0</v>
      </c>
      <c r="AC216" s="14" t="n">
        <v>0</v>
      </c>
      <c r="AD216" s="14" t="n">
        <v>0</v>
      </c>
      <c r="AE216" s="14" t="n">
        <v>0</v>
      </c>
      <c r="AF216" s="14" t="n">
        <v>0</v>
      </c>
      <c r="AG216" s="14" t="n">
        <v>0</v>
      </c>
      <c r="AH216" s="14" t="n">
        <v>0</v>
      </c>
      <c r="AI216" s="14" t="n">
        <v>0</v>
      </c>
      <c r="AJ216" s="14" t="n">
        <v>0</v>
      </c>
      <c r="AK216" s="14" t="n">
        <v>0</v>
      </c>
      <c r="AL216" s="14" t="n">
        <v>0</v>
      </c>
      <c r="AM216" s="14" t="n">
        <v>0</v>
      </c>
    </row>
    <row r="217" customFormat="false" ht="15" hidden="false" customHeight="false" outlineLevel="0" collapsed="false">
      <c r="A217" s="10" t="s">
        <v>361</v>
      </c>
      <c r="B217" s="11" t="s">
        <v>54</v>
      </c>
      <c r="C217" s="11" t="s">
        <v>41</v>
      </c>
      <c r="D217" s="11" t="s">
        <v>42</v>
      </c>
      <c r="E217" s="11" t="s">
        <v>118</v>
      </c>
      <c r="F217" s="11" t="s">
        <v>57</v>
      </c>
      <c r="G217" s="12" t="s">
        <v>64</v>
      </c>
      <c r="H217" s="11" t="s">
        <v>171</v>
      </c>
      <c r="I217" s="11" t="s">
        <v>171</v>
      </c>
      <c r="J217" s="11" t="s">
        <v>171</v>
      </c>
      <c r="K217" s="11" t="s">
        <v>48</v>
      </c>
      <c r="L217" s="11" t="s">
        <v>74</v>
      </c>
      <c r="M217" s="11" t="s">
        <v>60</v>
      </c>
      <c r="N217" s="11" t="s">
        <v>51</v>
      </c>
      <c r="O217" s="13" t="str">
        <f aca="false">IF(AND(R217&gt;600,Q217&gt;20000),"OBEDECE",IF(AND(R217&gt;300,Q217&gt;=10000,Q217&lt;=20000),"OBEDECE",IF(AND(R217&gt;150,Q217&gt;=5000,Q217&lt;=9999),"OBEDECE",IF(AND(R217&gt;60,Q217&gt;=2000,Q217&lt;=4999),"OBEDECE",IF(AND(R217&gt;30,Q217&gt;=1000,Q217&lt;=1999),"OBEDECE",IF(AND(R217&lt;=29,Q217&lt;=1000),"OBEDECE","NÃO OBEDECE"))))))</f>
        <v>NÃO OBEDECE</v>
      </c>
      <c r="P217" s="3" t="s">
        <v>68</v>
      </c>
      <c r="Q217" s="4" t="n">
        <v>43393</v>
      </c>
      <c r="R217" s="4" t="n">
        <v>141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12</v>
      </c>
      <c r="Y217" s="14" t="n">
        <v>0</v>
      </c>
      <c r="Z217" s="14" t="n">
        <v>2</v>
      </c>
      <c r="AA217" s="14" t="n">
        <v>0</v>
      </c>
      <c r="AB217" s="14" t="n">
        <v>0</v>
      </c>
      <c r="AC217" s="14" t="n">
        <v>0</v>
      </c>
      <c r="AD217" s="14" t="n">
        <v>0</v>
      </c>
      <c r="AE217" s="14" t="n">
        <v>0</v>
      </c>
      <c r="AF217" s="14" t="n">
        <v>0</v>
      </c>
      <c r="AG217" s="14" t="n">
        <v>0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</row>
    <row r="218" customFormat="false" ht="15" hidden="false" customHeight="false" outlineLevel="0" collapsed="false">
      <c r="A218" s="11" t="s">
        <v>362</v>
      </c>
      <c r="B218" s="11" t="s">
        <v>54</v>
      </c>
      <c r="C218" s="11" t="s">
        <v>41</v>
      </c>
      <c r="D218" s="11" t="s">
        <v>55</v>
      </c>
      <c r="E218" s="11" t="s">
        <v>118</v>
      </c>
      <c r="F218" s="11" t="s">
        <v>57</v>
      </c>
      <c r="G218" s="12" t="s">
        <v>363</v>
      </c>
      <c r="H218" s="11" t="s">
        <v>171</v>
      </c>
      <c r="I218" s="11" t="s">
        <v>171</v>
      </c>
      <c r="J218" s="11" t="s">
        <v>47</v>
      </c>
      <c r="K218" s="11" t="s">
        <v>59</v>
      </c>
      <c r="L218" s="11" t="s">
        <v>135</v>
      </c>
      <c r="M218" s="11" t="s">
        <v>60</v>
      </c>
      <c r="N218" s="11" t="s">
        <v>61</v>
      </c>
      <c r="O218" s="13" t="str">
        <f aca="false">IF(AND(R218&gt;600,Q218&gt;20000),"OBEDECE",IF(AND(R218&gt;300,Q218&gt;=10000,Q218&lt;=20000),"OBEDECE",IF(AND(R218&gt;150,Q218&gt;=5000,Q218&lt;=9999),"OBEDECE",IF(AND(R218&gt;60,Q218&gt;=2000,Q218&lt;=4999),"OBEDECE",IF(AND(R218&gt;30,Q218&gt;=1000,Q218&lt;=1999),"OBEDECE",IF(AND(R218&lt;=29,Q218&lt;=1000),"OBEDECE","NÃO OBEDECE"))))))</f>
        <v>NÃO OBEDECE</v>
      </c>
      <c r="P218" s="3" t="s">
        <v>62</v>
      </c>
      <c r="Q218" s="4" t="n">
        <v>16371</v>
      </c>
      <c r="R218" s="4" t="n">
        <v>73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4" t="n">
        <v>0</v>
      </c>
      <c r="AC218" s="14" t="n">
        <v>0</v>
      </c>
      <c r="AD218" s="14" t="n">
        <v>0</v>
      </c>
      <c r="AE218" s="14" t="n">
        <v>0</v>
      </c>
      <c r="AF218" s="14" t="n">
        <v>0</v>
      </c>
      <c r="AG218" s="14" t="n">
        <v>0</v>
      </c>
      <c r="AH218" s="14" t="n">
        <v>0</v>
      </c>
      <c r="AI218" s="14" t="n">
        <v>0</v>
      </c>
      <c r="AJ218" s="14" t="n">
        <v>0</v>
      </c>
      <c r="AK218" s="14" t="n">
        <v>0</v>
      </c>
      <c r="AL218" s="14" t="n">
        <v>0</v>
      </c>
      <c r="AM218" s="14" t="n">
        <v>0</v>
      </c>
    </row>
    <row r="219" customFormat="false" ht="15" hidden="false" customHeight="false" outlineLevel="0" collapsed="false">
      <c r="A219" s="11" t="s">
        <v>364</v>
      </c>
      <c r="B219" s="11" t="s">
        <v>40</v>
      </c>
      <c r="C219" s="11" t="s">
        <v>41</v>
      </c>
      <c r="D219" s="11" t="s">
        <v>42</v>
      </c>
      <c r="E219" s="11" t="s">
        <v>118</v>
      </c>
      <c r="F219" s="11" t="s">
        <v>57</v>
      </c>
      <c r="G219" s="12" t="s">
        <v>210</v>
      </c>
      <c r="H219" s="11" t="s">
        <v>171</v>
      </c>
      <c r="I219" s="11" t="s">
        <v>171</v>
      </c>
      <c r="J219" s="11" t="s">
        <v>47</v>
      </c>
      <c r="K219" s="11" t="s">
        <v>48</v>
      </c>
      <c r="L219" s="11" t="s">
        <v>135</v>
      </c>
      <c r="M219" s="11" t="s">
        <v>60</v>
      </c>
      <c r="N219" s="11" t="s">
        <v>71</v>
      </c>
      <c r="O219" s="13" t="str">
        <f aca="false">IF(AND(R219&gt;600,Q219&gt;20000),"OBEDECE",IF(AND(R219&gt;300,Q219&gt;=10000,Q219&lt;=20000),"OBEDECE",IF(AND(R219&gt;150,Q219&gt;=5000,Q219&lt;=9999),"OBEDECE",IF(AND(R219&gt;60,Q219&gt;=2000,Q219&lt;=4999),"OBEDECE",IF(AND(R219&gt;30,Q219&gt;=1000,Q219&lt;=1999),"OBEDECE",IF(AND(R219&lt;=29,Q219&lt;=1000),"OBEDECE","NÃO OBEDECE"))))))</f>
        <v>NÃO OBEDECE</v>
      </c>
      <c r="P219" s="3" t="s">
        <v>62</v>
      </c>
      <c r="Q219" s="4" t="n">
        <v>9038</v>
      </c>
      <c r="R219" s="4" t="n">
        <v>72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</row>
    <row r="220" customFormat="false" ht="15" hidden="false" customHeight="false" outlineLevel="0" collapsed="false">
      <c r="A220" s="10" t="s">
        <v>365</v>
      </c>
      <c r="B220" s="11" t="s">
        <v>40</v>
      </c>
      <c r="C220" s="11" t="s">
        <v>41</v>
      </c>
      <c r="D220" s="11" t="s">
        <v>42</v>
      </c>
      <c r="E220" s="11" t="s">
        <v>118</v>
      </c>
      <c r="F220" s="11" t="s">
        <v>57</v>
      </c>
      <c r="G220" s="12" t="s">
        <v>64</v>
      </c>
      <c r="H220" s="11" t="s">
        <v>171</v>
      </c>
      <c r="I220" s="11" t="s">
        <v>171</v>
      </c>
      <c r="J220" s="11" t="s">
        <v>171</v>
      </c>
      <c r="K220" s="11" t="s">
        <v>48</v>
      </c>
      <c r="L220" s="11" t="s">
        <v>135</v>
      </c>
      <c r="M220" s="11" t="s">
        <v>60</v>
      </c>
      <c r="N220" s="11" t="s">
        <v>51</v>
      </c>
      <c r="O220" s="13" t="str">
        <f aca="false">IF(AND(R220&gt;600,Q220&gt;20000),"OBEDECE",IF(AND(R220&gt;300,Q220&gt;=10000,Q220&lt;=20000),"OBEDECE",IF(AND(R220&gt;150,Q220&gt;=5000,Q220&lt;=9999),"OBEDECE",IF(AND(R220&gt;60,Q220&gt;=2000,Q220&lt;=4999),"OBEDECE",IF(AND(R220&gt;30,Q220&gt;=1000,Q220&lt;=1999),"OBEDECE",IF(AND(R220&lt;=29,Q220&lt;=1000),"OBEDECE","NÃO OBEDECE"))))))</f>
        <v>NÃO OBEDECE</v>
      </c>
      <c r="P220" s="3" t="s">
        <v>52</v>
      </c>
      <c r="Q220" s="4" t="n">
        <v>34452</v>
      </c>
      <c r="R220" s="4" t="n">
        <v>170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1</v>
      </c>
      <c r="Z220" s="14" t="n">
        <v>1</v>
      </c>
      <c r="AA220" s="14" t="n">
        <v>0</v>
      </c>
      <c r="AB220" s="14" t="n">
        <v>0</v>
      </c>
      <c r="AC220" s="14" t="n">
        <v>0</v>
      </c>
      <c r="AD220" s="14" t="n">
        <v>0</v>
      </c>
      <c r="AE220" s="14" t="n">
        <v>0</v>
      </c>
      <c r="AF220" s="14" t="n">
        <v>0</v>
      </c>
      <c r="AG220" s="14" t="n">
        <v>0</v>
      </c>
      <c r="AH220" s="14" t="n">
        <v>0</v>
      </c>
      <c r="AI220" s="14" t="n">
        <v>0</v>
      </c>
      <c r="AJ220" s="14" t="n">
        <v>0</v>
      </c>
      <c r="AK220" s="14" t="n">
        <v>1</v>
      </c>
      <c r="AL220" s="14" t="n">
        <v>0</v>
      </c>
      <c r="AM220" s="14" t="n">
        <v>0</v>
      </c>
    </row>
    <row r="221" customFormat="false" ht="15" hidden="true" customHeight="false" outlineLevel="0" collapsed="false">
      <c r="A221" s="11" t="s">
        <v>366</v>
      </c>
      <c r="B221" s="11" t="s">
        <v>54</v>
      </c>
      <c r="C221" s="11" t="s">
        <v>41</v>
      </c>
      <c r="D221" s="11" t="s">
        <v>55</v>
      </c>
      <c r="E221" s="11" t="s">
        <v>118</v>
      </c>
      <c r="F221" s="11" t="s">
        <v>57</v>
      </c>
      <c r="G221" s="12"/>
      <c r="H221" s="11" t="s">
        <v>171</v>
      </c>
      <c r="I221" s="11" t="s">
        <v>171</v>
      </c>
      <c r="J221" s="11" t="s">
        <v>47</v>
      </c>
      <c r="K221" s="11" t="s">
        <v>48</v>
      </c>
      <c r="L221" s="11" t="s">
        <v>74</v>
      </c>
      <c r="M221" s="11" t="s">
        <v>50</v>
      </c>
      <c r="N221" s="11" t="s">
        <v>61</v>
      </c>
      <c r="O221" s="13" t="str">
        <f aca="false">IF(AND(R221&gt;600,Q221&gt;20000),"OBEDECE",IF(AND(R221&gt;300,Q221&gt;=10000,Q221&lt;=20000),"OBEDECE",IF(AND(R221&gt;150,Q221&gt;=5000,Q221&lt;=9999),"OBEDECE",IF(AND(R221&gt;60,Q221&gt;=2000,Q221&lt;=4999),"OBEDECE",IF(AND(R221&gt;30,Q221&gt;=1000,Q221&lt;=1999),"OBEDECE",IF(AND(R221&lt;=29,Q221&lt;=1000),"OBEDECE","NÃO OBEDECE"))))))</f>
        <v>NÃO OBEDECE</v>
      </c>
      <c r="P221" s="3" t="s">
        <v>62</v>
      </c>
      <c r="Q221" s="4" t="n">
        <v>10446</v>
      </c>
      <c r="R221" s="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</row>
    <row r="222" customFormat="false" ht="15" hidden="false" customHeight="false" outlineLevel="0" collapsed="false">
      <c r="A222" s="11" t="s">
        <v>367</v>
      </c>
      <c r="B222" s="11" t="s">
        <v>54</v>
      </c>
      <c r="C222" s="11" t="s">
        <v>66</v>
      </c>
      <c r="D222" s="11" t="s">
        <v>55</v>
      </c>
      <c r="E222" s="11" t="s">
        <v>118</v>
      </c>
      <c r="F222" s="11" t="s">
        <v>57</v>
      </c>
      <c r="G222" s="15" t="s">
        <v>368</v>
      </c>
      <c r="H222" s="11" t="s">
        <v>171</v>
      </c>
      <c r="I222" s="11" t="s">
        <v>171</v>
      </c>
      <c r="J222" s="11" t="s">
        <v>47</v>
      </c>
      <c r="K222" s="11" t="s">
        <v>48</v>
      </c>
      <c r="L222" s="11" t="s">
        <v>49</v>
      </c>
      <c r="M222" s="11" t="s">
        <v>60</v>
      </c>
      <c r="N222" s="11" t="s">
        <v>61</v>
      </c>
      <c r="O222" s="13" t="str">
        <f aca="false">IF(AND(R222&gt;600,Q222&gt;20000),"OBEDECE",IF(AND(R222&gt;300,Q222&gt;=10000,Q222&lt;=20000),"OBEDECE",IF(AND(R222&gt;150,Q222&gt;=5000,Q222&lt;=9999),"OBEDECE",IF(AND(R222&gt;60,Q222&gt;=2000,Q222&lt;=4999),"OBEDECE",IF(AND(R222&gt;30,Q222&gt;=1000,Q222&lt;=1999),"OBEDECE",IF(AND(R222&lt;=29,Q222&lt;=1000),"OBEDECE","NÃO OBEDECE"))))))</f>
        <v>NÃO OBEDECE</v>
      </c>
      <c r="P222" s="3" t="s">
        <v>62</v>
      </c>
      <c r="Q222" s="4" t="n">
        <v>15629</v>
      </c>
      <c r="R222" s="4" t="n">
        <v>72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v>0</v>
      </c>
    </row>
    <row r="223" customFormat="false" ht="15" hidden="false" customHeight="false" outlineLevel="0" collapsed="false">
      <c r="A223" s="11" t="s">
        <v>369</v>
      </c>
      <c r="B223" s="11" t="s">
        <v>54</v>
      </c>
      <c r="C223" s="11" t="s">
        <v>66</v>
      </c>
      <c r="D223" s="11" t="s">
        <v>42</v>
      </c>
      <c r="E223" s="11" t="s">
        <v>118</v>
      </c>
      <c r="F223" s="11" t="s">
        <v>57</v>
      </c>
      <c r="G223" s="12" t="s">
        <v>370</v>
      </c>
      <c r="H223" s="11" t="s">
        <v>171</v>
      </c>
      <c r="I223" s="11" t="s">
        <v>171</v>
      </c>
      <c r="J223" s="11" t="s">
        <v>47</v>
      </c>
      <c r="K223" s="11" t="s">
        <v>48</v>
      </c>
      <c r="L223" s="11" t="s">
        <v>74</v>
      </c>
      <c r="M223" s="11" t="s">
        <v>60</v>
      </c>
      <c r="N223" s="11" t="s">
        <v>61</v>
      </c>
      <c r="O223" s="13" t="str">
        <f aca="false">IF(AND(R223&gt;600,Q223&gt;20000),"OBEDECE",IF(AND(R223&gt;300,Q223&gt;=10000,Q223&lt;=20000),"OBEDECE",IF(AND(R223&gt;150,Q223&gt;=5000,Q223&lt;=9999),"OBEDECE",IF(AND(R223&gt;60,Q223&gt;=2000,Q223&lt;=4999),"OBEDECE",IF(AND(R223&gt;30,Q223&gt;=1000,Q223&lt;=1999),"OBEDECE",IF(AND(R223&lt;=29,Q223&lt;=1000),"OBEDECE","NÃO OBEDECE"))))))</f>
        <v>NÃO OBEDECE</v>
      </c>
      <c r="P223" s="3" t="s">
        <v>62</v>
      </c>
      <c r="Q223" s="4" t="n">
        <v>14318</v>
      </c>
      <c r="R223" s="4" t="n">
        <v>78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</row>
    <row r="224" customFormat="false" ht="15" hidden="false" customHeight="false" outlineLevel="0" collapsed="false">
      <c r="A224" s="11" t="s">
        <v>371</v>
      </c>
      <c r="B224" s="11" t="s">
        <v>54</v>
      </c>
      <c r="C224" s="11" t="s">
        <v>41</v>
      </c>
      <c r="D224" s="11" t="s">
        <v>55</v>
      </c>
      <c r="E224" s="11" t="s">
        <v>118</v>
      </c>
      <c r="F224" s="11" t="s">
        <v>57</v>
      </c>
      <c r="G224" s="15" t="s">
        <v>221</v>
      </c>
      <c r="H224" s="11" t="s">
        <v>171</v>
      </c>
      <c r="I224" s="11" t="s">
        <v>171</v>
      </c>
      <c r="J224" s="11" t="s">
        <v>47</v>
      </c>
      <c r="K224" s="11" t="s">
        <v>59</v>
      </c>
      <c r="L224" s="11" t="s">
        <v>49</v>
      </c>
      <c r="M224" s="11" t="s">
        <v>50</v>
      </c>
      <c r="N224" s="11" t="s">
        <v>61</v>
      </c>
      <c r="O224" s="13" t="str">
        <f aca="false">IF(AND(R224&gt;600,Q224&gt;20000),"OBEDECE",IF(AND(R224&gt;300,Q224&gt;=10000,Q224&lt;=20000),"OBEDECE",IF(AND(R224&gt;150,Q224&gt;=5000,Q224&lt;=9999),"OBEDECE",IF(AND(R224&gt;60,Q224&gt;=2000,Q224&lt;=4999),"OBEDECE",IF(AND(R224&gt;30,Q224&gt;=1000,Q224&lt;=1999),"OBEDECE",IF(AND(R224&lt;=29,Q224&lt;=1000),"OBEDECE","NÃO OBEDECE"))))))</f>
        <v>NÃO OBEDECE</v>
      </c>
      <c r="P224" s="3" t="s">
        <v>62</v>
      </c>
      <c r="Q224" s="4" t="n">
        <v>19388</v>
      </c>
      <c r="R224" s="4" t="n">
        <v>78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14" t="n">
        <v>0</v>
      </c>
      <c r="AB224" s="14" t="n">
        <v>0</v>
      </c>
      <c r="AC224" s="14" t="n">
        <v>0</v>
      </c>
      <c r="AD224" s="14" t="n">
        <v>0</v>
      </c>
      <c r="AE224" s="14" t="n">
        <v>0</v>
      </c>
      <c r="AF224" s="14" t="n">
        <v>0</v>
      </c>
      <c r="AG224" s="14" t="n">
        <v>0</v>
      </c>
      <c r="AH224" s="14" t="n">
        <v>0</v>
      </c>
      <c r="AI224" s="14" t="n">
        <v>0</v>
      </c>
      <c r="AJ224" s="14" t="n">
        <v>0</v>
      </c>
      <c r="AK224" s="14" t="n">
        <v>0</v>
      </c>
      <c r="AL224" s="14" t="n">
        <v>0</v>
      </c>
      <c r="AM224" s="14" t="n">
        <v>0</v>
      </c>
    </row>
    <row r="225" customFormat="false" ht="15" hidden="false" customHeight="false" outlineLevel="0" collapsed="false">
      <c r="A225" s="11" t="s">
        <v>372</v>
      </c>
      <c r="B225" s="11" t="s">
        <v>54</v>
      </c>
      <c r="C225" s="11" t="s">
        <v>66</v>
      </c>
      <c r="D225" s="11" t="s">
        <v>55</v>
      </c>
      <c r="E225" s="11" t="s">
        <v>118</v>
      </c>
      <c r="F225" s="11" t="s">
        <v>57</v>
      </c>
      <c r="G225" s="12" t="s">
        <v>296</v>
      </c>
      <c r="H225" s="11" t="s">
        <v>171</v>
      </c>
      <c r="I225" s="11" t="s">
        <v>171</v>
      </c>
      <c r="J225" s="11" t="s">
        <v>47</v>
      </c>
      <c r="K225" s="11" t="s">
        <v>59</v>
      </c>
      <c r="L225" s="11" t="s">
        <v>49</v>
      </c>
      <c r="M225" s="11" t="s">
        <v>60</v>
      </c>
      <c r="N225" s="11" t="s">
        <v>61</v>
      </c>
      <c r="O225" s="13" t="str">
        <f aca="false">IF(AND(R225&gt;600,Q225&gt;20000),"OBEDECE",IF(AND(R225&gt;300,Q225&gt;=10000,Q225&lt;=20000),"OBEDECE",IF(AND(R225&gt;150,Q225&gt;=5000,Q225&lt;=9999),"OBEDECE",IF(AND(R225&gt;60,Q225&gt;=2000,Q225&lt;=4999),"OBEDECE",IF(AND(R225&gt;30,Q225&gt;=1000,Q225&lt;=1999),"OBEDECE",IF(AND(R225&lt;=29,Q225&lt;=1000),"OBEDECE","NÃO OBEDECE"))))))</f>
        <v>NÃO OBEDECE</v>
      </c>
      <c r="P225" s="3" t="s">
        <v>62</v>
      </c>
      <c r="Q225" s="4" t="n">
        <v>17616</v>
      </c>
      <c r="R225" s="4" t="n">
        <v>87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</row>
    <row r="226" customFormat="false" ht="15" hidden="false" customHeight="false" outlineLevel="0" collapsed="false">
      <c r="A226" s="11" t="s">
        <v>373</v>
      </c>
      <c r="B226" s="11" t="s">
        <v>40</v>
      </c>
      <c r="C226" s="11" t="s">
        <v>66</v>
      </c>
      <c r="D226" s="11" t="s">
        <v>42</v>
      </c>
      <c r="E226" s="11" t="s">
        <v>118</v>
      </c>
      <c r="F226" s="11" t="s">
        <v>57</v>
      </c>
      <c r="G226" s="12" t="s">
        <v>122</v>
      </c>
      <c r="H226" s="11" t="s">
        <v>171</v>
      </c>
      <c r="I226" s="11" t="s">
        <v>171</v>
      </c>
      <c r="J226" s="11" t="s">
        <v>47</v>
      </c>
      <c r="K226" s="11" t="s">
        <v>48</v>
      </c>
      <c r="L226" s="11" t="s">
        <v>49</v>
      </c>
      <c r="M226" s="11" t="s">
        <v>60</v>
      </c>
      <c r="N226" s="11" t="s">
        <v>51</v>
      </c>
      <c r="O226" s="13" t="str">
        <f aca="false">IF(AND(R226&gt;600,Q226&gt;20000),"OBEDECE",IF(AND(R226&gt;300,Q226&gt;=10000,Q226&lt;=20000),"OBEDECE",IF(AND(R226&gt;150,Q226&gt;=5000,Q226&lt;=9999),"OBEDECE",IF(AND(R226&gt;60,Q226&gt;=2000,Q226&lt;=4999),"OBEDECE",IF(AND(R226&gt;30,Q226&gt;=1000,Q226&lt;=1999),"OBEDECE",IF(AND(R226&lt;=29,Q226&lt;=1000),"OBEDECE","NÃO OBEDECE"))))))</f>
        <v>NÃO OBEDECE</v>
      </c>
      <c r="P226" s="3" t="s">
        <v>52</v>
      </c>
      <c r="Q226" s="4" t="n">
        <v>41413</v>
      </c>
      <c r="R226" s="4" t="n">
        <v>78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3</v>
      </c>
      <c r="Y226" s="14" t="n">
        <v>0</v>
      </c>
      <c r="Z226" s="14" t="n">
        <v>0</v>
      </c>
      <c r="AA226" s="14" t="n">
        <v>0</v>
      </c>
      <c r="AB226" s="14" t="n">
        <v>0</v>
      </c>
      <c r="AC226" s="14" t="n">
        <v>0</v>
      </c>
      <c r="AD226" s="14" t="n">
        <v>0</v>
      </c>
      <c r="AE226" s="14" t="n">
        <v>0</v>
      </c>
      <c r="AF226" s="14" t="n">
        <v>0</v>
      </c>
      <c r="AG226" s="14" t="n">
        <v>0</v>
      </c>
      <c r="AH226" s="14" t="n">
        <v>0</v>
      </c>
      <c r="AI226" s="14" t="n">
        <v>0</v>
      </c>
      <c r="AJ226" s="14" t="n">
        <v>0</v>
      </c>
      <c r="AK226" s="14" t="n">
        <v>0</v>
      </c>
      <c r="AL226" s="14" t="n">
        <v>1</v>
      </c>
      <c r="AM226" s="14" t="n">
        <v>0</v>
      </c>
    </row>
    <row r="227" customFormat="false" ht="15" hidden="false" customHeight="false" outlineLevel="0" collapsed="false">
      <c r="A227" s="11" t="s">
        <v>374</v>
      </c>
      <c r="B227" s="11" t="s">
        <v>40</v>
      </c>
      <c r="C227" s="11" t="s">
        <v>66</v>
      </c>
      <c r="D227" s="11" t="s">
        <v>42</v>
      </c>
      <c r="E227" s="11" t="s">
        <v>118</v>
      </c>
      <c r="F227" s="11" t="s">
        <v>57</v>
      </c>
      <c r="G227" s="12" t="s">
        <v>85</v>
      </c>
      <c r="H227" s="11" t="s">
        <v>171</v>
      </c>
      <c r="I227" s="11" t="s">
        <v>171</v>
      </c>
      <c r="J227" s="11" t="s">
        <v>47</v>
      </c>
      <c r="K227" s="11" t="s">
        <v>59</v>
      </c>
      <c r="L227" s="11" t="s">
        <v>74</v>
      </c>
      <c r="M227" s="11" t="s">
        <v>50</v>
      </c>
      <c r="N227" s="11" t="s">
        <v>51</v>
      </c>
      <c r="O227" s="13" t="str">
        <f aca="false">IF(AND(R227&gt;600,Q227&gt;20000),"OBEDECE",IF(AND(R227&gt;300,Q227&gt;=10000,Q227&lt;=20000),"OBEDECE",IF(AND(R227&gt;150,Q227&gt;=5000,Q227&lt;=9999),"OBEDECE",IF(AND(R227&gt;60,Q227&gt;=2000,Q227&lt;=4999),"OBEDECE",IF(AND(R227&gt;30,Q227&gt;=1000,Q227&lt;=1999),"OBEDECE",IF(AND(R227&lt;=29,Q227&lt;=1000),"OBEDECE","NÃO OBEDECE"))))))</f>
        <v>NÃO OBEDECE</v>
      </c>
      <c r="P227" s="3" t="s">
        <v>62</v>
      </c>
      <c r="Q227" s="4" t="n">
        <v>29294</v>
      </c>
      <c r="R227" s="4" t="n">
        <v>149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</row>
    <row r="228" customFormat="false" ht="15" hidden="true" customHeight="false" outlineLevel="0" collapsed="false">
      <c r="A228" s="11" t="s">
        <v>375</v>
      </c>
      <c r="B228" s="11" t="s">
        <v>54</v>
      </c>
      <c r="C228" s="11" t="s">
        <v>41</v>
      </c>
      <c r="D228" s="11" t="s">
        <v>42</v>
      </c>
      <c r="E228" s="11" t="s">
        <v>118</v>
      </c>
      <c r="F228" s="11" t="s">
        <v>57</v>
      </c>
      <c r="G228" s="12"/>
      <c r="H228" s="11" t="s">
        <v>171</v>
      </c>
      <c r="I228" s="11" t="s">
        <v>171</v>
      </c>
      <c r="J228" s="11" t="s">
        <v>47</v>
      </c>
      <c r="K228" s="11" t="s">
        <v>59</v>
      </c>
      <c r="L228" s="11" t="s">
        <v>74</v>
      </c>
      <c r="M228" s="11" t="s">
        <v>50</v>
      </c>
      <c r="N228" s="11" t="s">
        <v>61</v>
      </c>
      <c r="O228" s="13" t="str">
        <f aca="false">IF(AND(R228&gt;600,Q228&gt;20000),"OBEDECE",IF(AND(R228&gt;300,Q228&gt;=10000,Q228&lt;=20000),"OBEDECE",IF(AND(R228&gt;150,Q228&gt;=5000,Q228&lt;=9999),"OBEDECE",IF(AND(R228&gt;60,Q228&gt;=2000,Q228&lt;=4999),"OBEDECE",IF(AND(R228&gt;30,Q228&gt;=1000,Q228&lt;=1999),"OBEDECE",IF(AND(R228&lt;=29,Q228&lt;=1000),"OBEDECE","NÃO OBEDECE"))))))</f>
        <v>NÃO OBEDECE</v>
      </c>
      <c r="P228" s="3" t="s">
        <v>62</v>
      </c>
      <c r="Q228" s="4" t="n">
        <v>18673</v>
      </c>
      <c r="R228" s="4" t="n">
        <v>0</v>
      </c>
      <c r="S228" s="14" t="n">
        <v>0</v>
      </c>
      <c r="T228" s="14" t="n">
        <v>0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14" t="n">
        <v>0</v>
      </c>
      <c r="AB228" s="14" t="n">
        <v>0</v>
      </c>
      <c r="AC228" s="14" t="n">
        <v>0</v>
      </c>
      <c r="AD228" s="14" t="n">
        <v>0</v>
      </c>
      <c r="AE228" s="14" t="n">
        <v>0</v>
      </c>
      <c r="AF228" s="14" t="n">
        <v>0</v>
      </c>
      <c r="AG228" s="14" t="n">
        <v>0</v>
      </c>
      <c r="AH228" s="14" t="n">
        <v>0</v>
      </c>
      <c r="AI228" s="14" t="n">
        <v>0</v>
      </c>
      <c r="AJ228" s="14" t="n">
        <v>0</v>
      </c>
      <c r="AK228" s="14" t="n">
        <v>0</v>
      </c>
      <c r="AL228" s="14" t="n">
        <v>0</v>
      </c>
      <c r="AM228" s="14" t="n">
        <v>0</v>
      </c>
    </row>
    <row r="229" customFormat="false" ht="15" hidden="false" customHeight="false" outlineLevel="0" collapsed="false">
      <c r="A229" s="11" t="s">
        <v>376</v>
      </c>
      <c r="B229" s="11" t="s">
        <v>54</v>
      </c>
      <c r="C229" s="11" t="s">
        <v>66</v>
      </c>
      <c r="D229" s="11" t="s">
        <v>42</v>
      </c>
      <c r="E229" s="11" t="s">
        <v>118</v>
      </c>
      <c r="F229" s="11" t="s">
        <v>57</v>
      </c>
      <c r="G229" s="12" t="s">
        <v>282</v>
      </c>
      <c r="H229" s="11" t="s">
        <v>171</v>
      </c>
      <c r="I229" s="11" t="s">
        <v>171</v>
      </c>
      <c r="J229" s="11" t="s">
        <v>47</v>
      </c>
      <c r="K229" s="11" t="s">
        <v>59</v>
      </c>
      <c r="L229" s="11" t="s">
        <v>74</v>
      </c>
      <c r="M229" s="11" t="s">
        <v>50</v>
      </c>
      <c r="N229" s="11" t="s">
        <v>51</v>
      </c>
      <c r="O229" s="13" t="str">
        <f aca="false">IF(AND(R229&gt;600,Q229&gt;20000),"OBEDECE",IF(AND(R229&gt;300,Q229&gt;=10000,Q229&lt;=20000),"OBEDECE",IF(AND(R229&gt;150,Q229&gt;=5000,Q229&lt;=9999),"OBEDECE",IF(AND(R229&gt;60,Q229&gt;=2000,Q229&lt;=4999),"OBEDECE",IF(AND(R229&gt;30,Q229&gt;=1000,Q229&lt;=1999),"OBEDECE",IF(AND(R229&lt;=29,Q229&lt;=1000),"OBEDECE","NÃO OBEDECE"))))))</f>
        <v>NÃO OBEDECE</v>
      </c>
      <c r="P229" s="3" t="s">
        <v>52</v>
      </c>
      <c r="Q229" s="4" t="n">
        <v>21776</v>
      </c>
      <c r="R229" s="4" t="n">
        <v>137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1</v>
      </c>
      <c r="X229" s="14" t="n">
        <v>1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1</v>
      </c>
      <c r="AM229" s="14" t="n">
        <v>0</v>
      </c>
    </row>
    <row r="230" customFormat="false" ht="15" hidden="false" customHeight="false" outlineLevel="0" collapsed="false">
      <c r="A230" s="11" t="s">
        <v>377</v>
      </c>
      <c r="B230" s="11" t="s">
        <v>54</v>
      </c>
      <c r="C230" s="11" t="s">
        <v>66</v>
      </c>
      <c r="D230" s="11" t="s">
        <v>55</v>
      </c>
      <c r="E230" s="11" t="s">
        <v>118</v>
      </c>
      <c r="F230" s="11" t="s">
        <v>57</v>
      </c>
      <c r="G230" s="12" t="s">
        <v>87</v>
      </c>
      <c r="H230" s="11" t="s">
        <v>171</v>
      </c>
      <c r="I230" s="11" t="s">
        <v>171</v>
      </c>
      <c r="J230" s="11" t="s">
        <v>47</v>
      </c>
      <c r="K230" s="11" t="s">
        <v>59</v>
      </c>
      <c r="L230" s="11" t="s">
        <v>49</v>
      </c>
      <c r="M230" s="11" t="s">
        <v>50</v>
      </c>
      <c r="N230" s="11" t="s">
        <v>51</v>
      </c>
      <c r="O230" s="13" t="str">
        <f aca="false">IF(AND(R230&gt;600,Q230&gt;20000),"OBEDECE",IF(AND(R230&gt;300,Q230&gt;=10000,Q230&lt;=20000),"OBEDECE",IF(AND(R230&gt;150,Q230&gt;=5000,Q230&lt;=9999),"OBEDECE",IF(AND(R230&gt;60,Q230&gt;=2000,Q230&lt;=4999),"OBEDECE",IF(AND(R230&gt;30,Q230&gt;=1000,Q230&lt;=1999),"OBEDECE",IF(AND(R230&lt;=29,Q230&lt;=1000),"OBEDECE","NÃO OBEDECE"))))))</f>
        <v>NÃO OBEDECE</v>
      </c>
      <c r="P230" s="3" t="s">
        <v>68</v>
      </c>
      <c r="Q230" s="4" t="n">
        <v>36016</v>
      </c>
      <c r="R230" s="4" t="n">
        <v>119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2</v>
      </c>
      <c r="Y230" s="14" t="n">
        <v>1</v>
      </c>
      <c r="Z230" s="14" t="n">
        <v>0</v>
      </c>
      <c r="AA230" s="14" t="n">
        <v>0</v>
      </c>
      <c r="AB230" s="14" t="n">
        <v>0</v>
      </c>
      <c r="AC230" s="14" t="n">
        <v>0</v>
      </c>
      <c r="AD230" s="14" t="n">
        <v>0</v>
      </c>
      <c r="AE230" s="14" t="n">
        <v>0</v>
      </c>
      <c r="AF230" s="14" t="n">
        <v>0</v>
      </c>
      <c r="AG230" s="14" t="n">
        <v>0</v>
      </c>
      <c r="AH230" s="14" t="n">
        <v>0</v>
      </c>
      <c r="AI230" s="14" t="n">
        <v>0</v>
      </c>
      <c r="AJ230" s="14" t="n">
        <v>0</v>
      </c>
      <c r="AK230" s="14" t="n">
        <v>0</v>
      </c>
      <c r="AL230" s="14" t="n">
        <v>0</v>
      </c>
      <c r="AM230" s="14" t="n">
        <v>0</v>
      </c>
    </row>
    <row r="231" customFormat="false" ht="15" hidden="false" customHeight="false" outlineLevel="0" collapsed="false">
      <c r="A231" s="11" t="s">
        <v>378</v>
      </c>
      <c r="B231" s="11" t="s">
        <v>54</v>
      </c>
      <c r="C231" s="11" t="s">
        <v>41</v>
      </c>
      <c r="D231" s="11" t="s">
        <v>42</v>
      </c>
      <c r="E231" s="11" t="s">
        <v>56</v>
      </c>
      <c r="F231" s="11" t="s">
        <v>57</v>
      </c>
      <c r="G231" s="12" t="s">
        <v>67</v>
      </c>
      <c r="H231" s="11" t="s">
        <v>171</v>
      </c>
      <c r="I231" s="11" t="s">
        <v>47</v>
      </c>
      <c r="J231" s="11" t="s">
        <v>47</v>
      </c>
      <c r="K231" s="11" t="s">
        <v>59</v>
      </c>
      <c r="L231" s="11" t="s">
        <v>74</v>
      </c>
      <c r="M231" s="11" t="s">
        <v>60</v>
      </c>
      <c r="N231" s="11" t="s">
        <v>51</v>
      </c>
      <c r="O231" s="13" t="str">
        <f aca="false">IF(AND(R231&gt;600,Q231&gt;20000),"OBEDECE",IF(AND(R231&gt;300,Q231&gt;=10000,Q231&lt;=20000),"OBEDECE",IF(AND(R231&gt;150,Q231&gt;=5000,Q231&lt;=9999),"OBEDECE",IF(AND(R231&gt;60,Q231&gt;=2000,Q231&lt;=4999),"OBEDECE",IF(AND(R231&gt;30,Q231&gt;=1000,Q231&lt;=1999),"OBEDECE",IF(AND(R231&lt;=29,Q231&lt;=1000),"OBEDECE","NÃO OBEDECE"))))))</f>
        <v>NÃO OBEDECE</v>
      </c>
      <c r="P231" s="3" t="s">
        <v>62</v>
      </c>
      <c r="Q231" s="4" t="n">
        <v>27406</v>
      </c>
      <c r="R231" s="4" t="n">
        <v>117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</row>
    <row r="232" customFormat="false" ht="15" hidden="false" customHeight="false" outlineLevel="0" collapsed="false">
      <c r="A232" s="11" t="s">
        <v>379</v>
      </c>
      <c r="B232" s="11" t="s">
        <v>54</v>
      </c>
      <c r="C232" s="11" t="s">
        <v>41</v>
      </c>
      <c r="D232" s="11" t="s">
        <v>42</v>
      </c>
      <c r="E232" s="11" t="s">
        <v>56</v>
      </c>
      <c r="F232" s="11" t="s">
        <v>57</v>
      </c>
      <c r="G232" s="12" t="s">
        <v>70</v>
      </c>
      <c r="H232" s="11" t="s">
        <v>171</v>
      </c>
      <c r="I232" s="11" t="s">
        <v>47</v>
      </c>
      <c r="J232" s="11" t="s">
        <v>47</v>
      </c>
      <c r="K232" s="11" t="s">
        <v>59</v>
      </c>
      <c r="L232" s="11" t="s">
        <v>74</v>
      </c>
      <c r="M232" s="11" t="s">
        <v>60</v>
      </c>
      <c r="N232" s="11" t="s">
        <v>61</v>
      </c>
      <c r="O232" s="13" t="str">
        <f aca="false">IF(AND(R232&gt;600,Q232&gt;20000),"OBEDECE",IF(AND(R232&gt;300,Q232&gt;=10000,Q232&lt;=20000),"OBEDECE",IF(AND(R232&gt;150,Q232&gt;=5000,Q232&lt;=9999),"OBEDECE",IF(AND(R232&gt;60,Q232&gt;=2000,Q232&lt;=4999),"OBEDECE",IF(AND(R232&gt;30,Q232&gt;=1000,Q232&lt;=1999),"OBEDECE",IF(AND(R232&lt;=29,Q232&lt;=1000),"OBEDECE","NÃO OBEDECE"))))))</f>
        <v>NÃO OBEDECE</v>
      </c>
      <c r="P232" s="3" t="s">
        <v>68</v>
      </c>
      <c r="Q232" s="4" t="n">
        <v>18853</v>
      </c>
      <c r="R232" s="4" t="n">
        <v>115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1</v>
      </c>
      <c r="Y232" s="14" t="n">
        <v>0</v>
      </c>
      <c r="Z232" s="14" t="n">
        <v>0</v>
      </c>
      <c r="AA232" s="14" t="n">
        <v>0</v>
      </c>
      <c r="AB232" s="14" t="n">
        <v>0</v>
      </c>
      <c r="AC232" s="14" t="n">
        <v>0</v>
      </c>
      <c r="AD232" s="14" t="n">
        <v>0</v>
      </c>
      <c r="AE232" s="14" t="n">
        <v>0</v>
      </c>
      <c r="AF232" s="14" t="n">
        <v>0</v>
      </c>
      <c r="AG232" s="14" t="n">
        <v>0</v>
      </c>
      <c r="AH232" s="14" t="n">
        <v>0</v>
      </c>
      <c r="AI232" s="14" t="n">
        <v>0</v>
      </c>
      <c r="AJ232" s="14" t="n">
        <v>0</v>
      </c>
      <c r="AK232" s="14" t="n">
        <v>0</v>
      </c>
      <c r="AL232" s="14" t="n">
        <v>0</v>
      </c>
      <c r="AM232" s="14" t="n">
        <v>0</v>
      </c>
    </row>
    <row r="233" customFormat="false" ht="15" hidden="false" customHeight="false" outlineLevel="0" collapsed="false">
      <c r="A233" s="11" t="s">
        <v>380</v>
      </c>
      <c r="B233" s="11" t="s">
        <v>54</v>
      </c>
      <c r="C233" s="11" t="s">
        <v>66</v>
      </c>
      <c r="D233" s="11" t="s">
        <v>55</v>
      </c>
      <c r="E233" s="11" t="s">
        <v>118</v>
      </c>
      <c r="F233" s="11" t="s">
        <v>57</v>
      </c>
      <c r="G233" s="12" t="s">
        <v>67</v>
      </c>
      <c r="H233" s="11" t="s">
        <v>171</v>
      </c>
      <c r="I233" s="11" t="s">
        <v>171</v>
      </c>
      <c r="J233" s="11" t="s">
        <v>47</v>
      </c>
      <c r="K233" s="11" t="s">
        <v>59</v>
      </c>
      <c r="L233" s="11" t="s">
        <v>49</v>
      </c>
      <c r="M233" s="11" t="s">
        <v>60</v>
      </c>
      <c r="N233" s="11" t="s">
        <v>51</v>
      </c>
      <c r="O233" s="13" t="str">
        <f aca="false">IF(AND(R233&gt;600,Q233&gt;20000),"OBEDECE",IF(AND(R233&gt;300,Q233&gt;=10000,Q233&lt;=20000),"OBEDECE",IF(AND(R233&gt;150,Q233&gt;=5000,Q233&lt;=9999),"OBEDECE",IF(AND(R233&gt;60,Q233&gt;=2000,Q233&lt;=4999),"OBEDECE",IF(AND(R233&gt;30,Q233&gt;=1000,Q233&lt;=1999),"OBEDECE",IF(AND(R233&lt;=29,Q233&lt;=1000),"OBEDECE","NÃO OBEDECE"))))))</f>
        <v>NÃO OBEDECE</v>
      </c>
      <c r="P233" s="3" t="s">
        <v>68</v>
      </c>
      <c r="Q233" s="4" t="n">
        <v>46341</v>
      </c>
      <c r="R233" s="4" t="n">
        <v>120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1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</row>
    <row r="234" customFormat="false" ht="15" hidden="false" customHeight="false" outlineLevel="0" collapsed="false">
      <c r="A234" s="11" t="s">
        <v>381</v>
      </c>
      <c r="B234" s="11" t="s">
        <v>54</v>
      </c>
      <c r="C234" s="11" t="s">
        <v>66</v>
      </c>
      <c r="D234" s="11" t="s">
        <v>42</v>
      </c>
      <c r="E234" s="11" t="s">
        <v>118</v>
      </c>
      <c r="F234" s="11" t="s">
        <v>57</v>
      </c>
      <c r="G234" s="12" t="s">
        <v>90</v>
      </c>
      <c r="H234" s="11" t="s">
        <v>171</v>
      </c>
      <c r="I234" s="11" t="s">
        <v>171</v>
      </c>
      <c r="J234" s="11" t="s">
        <v>47</v>
      </c>
      <c r="K234" s="11" t="s">
        <v>59</v>
      </c>
      <c r="L234" s="11" t="s">
        <v>74</v>
      </c>
      <c r="M234" s="11" t="s">
        <v>50</v>
      </c>
      <c r="N234" s="11" t="s">
        <v>61</v>
      </c>
      <c r="O234" s="13" t="str">
        <f aca="false">IF(AND(R234&gt;600,Q234&gt;20000),"OBEDECE",IF(AND(R234&gt;300,Q234&gt;=10000,Q234&lt;=20000),"OBEDECE",IF(AND(R234&gt;150,Q234&gt;=5000,Q234&lt;=9999),"OBEDECE",IF(AND(R234&gt;60,Q234&gt;=2000,Q234&lt;=4999),"OBEDECE",IF(AND(R234&gt;30,Q234&gt;=1000,Q234&lt;=1999),"OBEDECE",IF(AND(R234&lt;=29,Q234&lt;=1000),"OBEDECE","NÃO OBEDECE"))))))</f>
        <v>NÃO OBEDECE</v>
      </c>
      <c r="P234" s="3" t="s">
        <v>62</v>
      </c>
      <c r="Q234" s="4" t="n">
        <v>18583</v>
      </c>
      <c r="R234" s="4" t="n">
        <v>115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14" t="n">
        <v>0</v>
      </c>
      <c r="AB234" s="14" t="n">
        <v>0</v>
      </c>
      <c r="AC234" s="14" t="n">
        <v>0</v>
      </c>
      <c r="AD234" s="14" t="n">
        <v>0</v>
      </c>
      <c r="AE234" s="14" t="n">
        <v>0</v>
      </c>
      <c r="AF234" s="14" t="n">
        <v>0</v>
      </c>
      <c r="AG234" s="14" t="n">
        <v>0</v>
      </c>
      <c r="AH234" s="14" t="n">
        <v>0</v>
      </c>
      <c r="AI234" s="14" t="n">
        <v>0</v>
      </c>
      <c r="AJ234" s="14" t="n">
        <v>0</v>
      </c>
      <c r="AK234" s="14" t="n">
        <v>0</v>
      </c>
      <c r="AL234" s="14" t="n">
        <v>0</v>
      </c>
      <c r="AM234" s="14" t="n">
        <v>0</v>
      </c>
    </row>
    <row r="235" customFormat="false" ht="15" hidden="false" customHeight="false" outlineLevel="0" collapsed="false">
      <c r="A235" s="11" t="s">
        <v>382</v>
      </c>
      <c r="B235" s="11" t="s">
        <v>40</v>
      </c>
      <c r="C235" s="11" t="s">
        <v>41</v>
      </c>
      <c r="D235" s="11" t="s">
        <v>42</v>
      </c>
      <c r="E235" s="11" t="s">
        <v>118</v>
      </c>
      <c r="F235" s="11" t="s">
        <v>57</v>
      </c>
      <c r="G235" s="12" t="s">
        <v>81</v>
      </c>
      <c r="H235" s="11" t="s">
        <v>171</v>
      </c>
      <c r="I235" s="11" t="s">
        <v>171</v>
      </c>
      <c r="J235" s="11" t="s">
        <v>47</v>
      </c>
      <c r="K235" s="11" t="s">
        <v>59</v>
      </c>
      <c r="L235" s="11" t="s">
        <v>74</v>
      </c>
      <c r="M235" s="11" t="s">
        <v>50</v>
      </c>
      <c r="N235" s="11" t="s">
        <v>51</v>
      </c>
      <c r="O235" s="13" t="str">
        <f aca="false">IF(AND(R235&gt;600,Q235&gt;20000),"OBEDECE",IF(AND(R235&gt;300,Q235&gt;=10000,Q235&lt;=20000),"OBEDECE",IF(AND(R235&gt;150,Q235&gt;=5000,Q235&lt;=9999),"OBEDECE",IF(AND(R235&gt;60,Q235&gt;=2000,Q235&lt;=4999),"OBEDECE",IF(AND(R235&gt;30,Q235&gt;=1000,Q235&lt;=1999),"OBEDECE",IF(AND(R235&lt;=29,Q235&lt;=1000),"OBEDECE","NÃO OBEDECE"))))))</f>
        <v>NÃO OBEDECE</v>
      </c>
      <c r="P235" s="3" t="s">
        <v>68</v>
      </c>
      <c r="Q235" s="4" t="n">
        <v>43642</v>
      </c>
      <c r="R235" s="4" t="n">
        <v>168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2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</row>
    <row r="236" customFormat="false" ht="15" hidden="false" customHeight="false" outlineLevel="0" collapsed="false">
      <c r="A236" s="11" t="s">
        <v>383</v>
      </c>
      <c r="B236" s="11" t="s">
        <v>40</v>
      </c>
      <c r="C236" s="11" t="s">
        <v>66</v>
      </c>
      <c r="D236" s="11" t="s">
        <v>42</v>
      </c>
      <c r="E236" s="11" t="s">
        <v>118</v>
      </c>
      <c r="F236" s="11" t="s">
        <v>57</v>
      </c>
      <c r="G236" s="12" t="s">
        <v>137</v>
      </c>
      <c r="H236" s="11" t="s">
        <v>171</v>
      </c>
      <c r="I236" s="11" t="s">
        <v>171</v>
      </c>
      <c r="J236" s="11" t="s">
        <v>47</v>
      </c>
      <c r="K236" s="11" t="s">
        <v>59</v>
      </c>
      <c r="L236" s="11" t="s">
        <v>74</v>
      </c>
      <c r="M236" s="11" t="s">
        <v>60</v>
      </c>
      <c r="N236" s="11" t="s">
        <v>51</v>
      </c>
      <c r="O236" s="13" t="str">
        <f aca="false">IF(AND(R236&gt;600,Q236&gt;20000),"OBEDECE",IF(AND(R236&gt;300,Q236&gt;=10000,Q236&lt;=20000),"OBEDECE",IF(AND(R236&gt;150,Q236&gt;=5000,Q236&lt;=9999),"OBEDECE",IF(AND(R236&gt;60,Q236&gt;=2000,Q236&lt;=4999),"OBEDECE",IF(AND(R236&gt;30,Q236&gt;=1000,Q236&lt;=1999),"OBEDECE",IF(AND(R236&lt;=29,Q236&lt;=1000),"OBEDECE","NÃO OBEDECE"))))))</f>
        <v>NÃO OBEDECE</v>
      </c>
      <c r="P236" s="3" t="s">
        <v>68</v>
      </c>
      <c r="Q236" s="4" t="n">
        <v>29079</v>
      </c>
      <c r="R236" s="4" t="n">
        <v>135</v>
      </c>
      <c r="S236" s="14" t="n">
        <v>0</v>
      </c>
      <c r="T236" s="14" t="n">
        <v>1</v>
      </c>
      <c r="U236" s="14" t="n">
        <v>0</v>
      </c>
      <c r="V236" s="14" t="n">
        <v>0</v>
      </c>
      <c r="W236" s="14" t="n">
        <v>1</v>
      </c>
      <c r="X236" s="14" t="n">
        <v>0</v>
      </c>
      <c r="Y236" s="14" t="n">
        <v>0</v>
      </c>
      <c r="Z236" s="14" t="n">
        <v>0</v>
      </c>
      <c r="AA236" s="14" t="n">
        <v>0</v>
      </c>
      <c r="AB236" s="14" t="n">
        <v>0</v>
      </c>
      <c r="AC236" s="14" t="n">
        <v>0</v>
      </c>
      <c r="AD236" s="14" t="n">
        <v>0</v>
      </c>
      <c r="AE236" s="14" t="n">
        <v>0</v>
      </c>
      <c r="AF236" s="14" t="n">
        <v>0</v>
      </c>
      <c r="AG236" s="14" t="n">
        <v>0</v>
      </c>
      <c r="AH236" s="14" t="n">
        <v>0</v>
      </c>
      <c r="AI236" s="14" t="n">
        <v>0</v>
      </c>
      <c r="AJ236" s="14" t="n">
        <v>0</v>
      </c>
      <c r="AK236" s="14" t="n">
        <v>0</v>
      </c>
      <c r="AL236" s="14" t="n">
        <v>0</v>
      </c>
      <c r="AM236" s="14" t="n">
        <v>0</v>
      </c>
    </row>
    <row r="237" customFormat="false" ht="15" hidden="false" customHeight="false" outlineLevel="0" collapsed="false">
      <c r="A237" s="11" t="s">
        <v>384</v>
      </c>
      <c r="B237" s="11" t="s">
        <v>54</v>
      </c>
      <c r="C237" s="11" t="s">
        <v>66</v>
      </c>
      <c r="D237" s="11" t="s">
        <v>42</v>
      </c>
      <c r="E237" s="11" t="s">
        <v>118</v>
      </c>
      <c r="F237" s="11" t="s">
        <v>57</v>
      </c>
      <c r="G237" s="12" t="s">
        <v>164</v>
      </c>
      <c r="H237" s="11" t="s">
        <v>171</v>
      </c>
      <c r="I237" s="11" t="s">
        <v>171</v>
      </c>
      <c r="J237" s="11" t="s">
        <v>47</v>
      </c>
      <c r="K237" s="11" t="s">
        <v>59</v>
      </c>
      <c r="L237" s="11" t="s">
        <v>74</v>
      </c>
      <c r="M237" s="11" t="s">
        <v>60</v>
      </c>
      <c r="N237" s="11" t="s">
        <v>51</v>
      </c>
      <c r="O237" s="13" t="str">
        <f aca="false">IF(AND(R237&gt;600,Q237&gt;20000),"OBEDECE",IF(AND(R237&gt;300,Q237&gt;=10000,Q237&lt;=20000),"OBEDECE",IF(AND(R237&gt;150,Q237&gt;=5000,Q237&lt;=9999),"OBEDECE",IF(AND(R237&gt;60,Q237&gt;=2000,Q237&lt;=4999),"OBEDECE",IF(AND(R237&gt;30,Q237&gt;=1000,Q237&lt;=1999),"OBEDECE",IF(AND(R237&lt;=29,Q237&lt;=1000),"OBEDECE","NÃO OBEDECE"))))))</f>
        <v>NÃO OBEDECE</v>
      </c>
      <c r="P237" s="3" t="s">
        <v>62</v>
      </c>
      <c r="Q237" s="4" t="n">
        <v>32483</v>
      </c>
      <c r="R237" s="4" t="n">
        <v>128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</row>
    <row r="238" customFormat="false" ht="15" hidden="false" customHeight="false" outlineLevel="0" collapsed="false">
      <c r="A238" s="11" t="s">
        <v>385</v>
      </c>
      <c r="B238" s="11" t="s">
        <v>40</v>
      </c>
      <c r="C238" s="11" t="s">
        <v>41</v>
      </c>
      <c r="D238" s="11" t="s">
        <v>42</v>
      </c>
      <c r="E238" s="11" t="s">
        <v>118</v>
      </c>
      <c r="F238" s="11" t="s">
        <v>57</v>
      </c>
      <c r="G238" s="12" t="s">
        <v>276</v>
      </c>
      <c r="H238" s="11" t="s">
        <v>171</v>
      </c>
      <c r="I238" s="11" t="s">
        <v>171</v>
      </c>
      <c r="J238" s="11" t="s">
        <v>47</v>
      </c>
      <c r="K238" s="11" t="s">
        <v>59</v>
      </c>
      <c r="L238" s="11" t="s">
        <v>74</v>
      </c>
      <c r="M238" s="11" t="s">
        <v>60</v>
      </c>
      <c r="N238" s="11" t="s">
        <v>51</v>
      </c>
      <c r="O238" s="13" t="str">
        <f aca="false">IF(AND(R238&gt;600,Q238&gt;20000),"OBEDECE",IF(AND(R238&gt;300,Q238&gt;=10000,Q238&lt;=20000),"OBEDECE",IF(AND(R238&gt;150,Q238&gt;=5000,Q238&lt;=9999),"OBEDECE",IF(AND(R238&gt;60,Q238&gt;=2000,Q238&lt;=4999),"OBEDECE",IF(AND(R238&gt;30,Q238&gt;=1000,Q238&lt;=1999),"OBEDECE",IF(AND(R238&lt;=29,Q238&lt;=1000),"OBEDECE","NÃO OBEDECE"))))))</f>
        <v>NÃO OBEDECE</v>
      </c>
      <c r="P238" s="3" t="s">
        <v>62</v>
      </c>
      <c r="Q238" s="4" t="n">
        <v>38977</v>
      </c>
      <c r="R238" s="4" t="n">
        <v>128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14" t="n">
        <v>0</v>
      </c>
      <c r="AB238" s="14" t="n">
        <v>0</v>
      </c>
      <c r="AC238" s="14" t="n">
        <v>0</v>
      </c>
      <c r="AD238" s="14" t="n">
        <v>0</v>
      </c>
      <c r="AE238" s="14" t="n">
        <v>0</v>
      </c>
      <c r="AF238" s="14" t="n">
        <v>0</v>
      </c>
      <c r="AG238" s="14" t="n">
        <v>0</v>
      </c>
      <c r="AH238" s="14" t="n">
        <v>0</v>
      </c>
      <c r="AI238" s="14" t="n">
        <v>0</v>
      </c>
      <c r="AJ238" s="14" t="n">
        <v>0</v>
      </c>
      <c r="AK238" s="14" t="n">
        <v>0</v>
      </c>
      <c r="AL238" s="14" t="n">
        <v>0</v>
      </c>
      <c r="AM238" s="14" t="n">
        <v>0</v>
      </c>
    </row>
    <row r="239" customFormat="false" ht="15" hidden="false" customHeight="false" outlineLevel="0" collapsed="false">
      <c r="A239" s="11" t="s">
        <v>386</v>
      </c>
      <c r="B239" s="11" t="s">
        <v>54</v>
      </c>
      <c r="C239" s="11" t="s">
        <v>66</v>
      </c>
      <c r="D239" s="11" t="s">
        <v>55</v>
      </c>
      <c r="E239" s="11" t="s">
        <v>118</v>
      </c>
      <c r="F239" s="11" t="s">
        <v>57</v>
      </c>
      <c r="G239" s="12" t="s">
        <v>99</v>
      </c>
      <c r="H239" s="11" t="s">
        <v>171</v>
      </c>
      <c r="I239" s="11" t="s">
        <v>171</v>
      </c>
      <c r="J239" s="11" t="s">
        <v>47</v>
      </c>
      <c r="K239" s="11" t="s">
        <v>59</v>
      </c>
      <c r="L239" s="11" t="s">
        <v>74</v>
      </c>
      <c r="M239" s="11" t="s">
        <v>60</v>
      </c>
      <c r="N239" s="11" t="s">
        <v>61</v>
      </c>
      <c r="O239" s="13" t="str">
        <f aca="false">IF(AND(R239&gt;600,Q239&gt;20000),"OBEDECE",IF(AND(R239&gt;300,Q239&gt;=10000,Q239&lt;=20000),"OBEDECE",IF(AND(R239&gt;150,Q239&gt;=5000,Q239&lt;=9999),"OBEDECE",IF(AND(R239&gt;60,Q239&gt;=2000,Q239&lt;=4999),"OBEDECE",IF(AND(R239&gt;30,Q239&gt;=1000,Q239&lt;=1999),"OBEDECE",IF(AND(R239&lt;=29,Q239&lt;=1000),"OBEDECE","NÃO OBEDECE"))))))</f>
        <v>NÃO OBEDECE</v>
      </c>
      <c r="P239" s="3" t="s">
        <v>62</v>
      </c>
      <c r="Q239" s="4" t="n">
        <v>19656</v>
      </c>
      <c r="R239" s="4" t="n">
        <v>127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>0</v>
      </c>
      <c r="AB239" s="14" t="n">
        <v>0</v>
      </c>
      <c r="AC239" s="14" t="n">
        <v>0</v>
      </c>
      <c r="AD239" s="14" t="n">
        <v>0</v>
      </c>
      <c r="AE239" s="14" t="n">
        <v>0</v>
      </c>
      <c r="AF239" s="14" t="n">
        <v>0</v>
      </c>
      <c r="AG239" s="14" t="n">
        <v>0</v>
      </c>
      <c r="AH239" s="14" t="n">
        <v>0</v>
      </c>
      <c r="AI239" s="14" t="n">
        <v>0</v>
      </c>
      <c r="AJ239" s="14" t="n">
        <v>0</v>
      </c>
      <c r="AK239" s="14" t="n">
        <v>0</v>
      </c>
      <c r="AL239" s="14" t="n">
        <v>0</v>
      </c>
      <c r="AM239" s="14" t="n">
        <v>0</v>
      </c>
    </row>
    <row r="240" customFormat="false" ht="15" hidden="false" customHeight="false" outlineLevel="0" collapsed="false">
      <c r="A240" s="11" t="s">
        <v>387</v>
      </c>
      <c r="B240" s="11" t="s">
        <v>54</v>
      </c>
      <c r="C240" s="11" t="s">
        <v>41</v>
      </c>
      <c r="D240" s="11" t="s">
        <v>42</v>
      </c>
      <c r="E240" s="11" t="s">
        <v>118</v>
      </c>
      <c r="F240" s="11" t="s">
        <v>57</v>
      </c>
      <c r="G240" s="15" t="s">
        <v>388</v>
      </c>
      <c r="H240" s="11" t="s">
        <v>171</v>
      </c>
      <c r="I240" s="11" t="s">
        <v>171</v>
      </c>
      <c r="J240" s="11" t="s">
        <v>47</v>
      </c>
      <c r="K240" s="11" t="s">
        <v>59</v>
      </c>
      <c r="L240" s="11" t="s">
        <v>135</v>
      </c>
      <c r="M240" s="11" t="s">
        <v>50</v>
      </c>
      <c r="N240" s="11" t="s">
        <v>51</v>
      </c>
      <c r="O240" s="13" t="str">
        <f aca="false">IF(AND(R240&gt;600,Q240&gt;20000),"OBEDECE",IF(AND(R240&gt;300,Q240&gt;=10000,Q240&lt;=20000),"OBEDECE",IF(AND(R240&gt;150,Q240&gt;=5000,Q240&lt;=9999),"OBEDECE",IF(AND(R240&gt;60,Q240&gt;=2000,Q240&lt;=4999),"OBEDECE",IF(AND(R240&gt;30,Q240&gt;=1000,Q240&lt;=1999),"OBEDECE",IF(AND(R240&lt;=29,Q240&lt;=1000),"OBEDECE","NÃO OBEDECE"))))))</f>
        <v>NÃO OBEDECE</v>
      </c>
      <c r="P240" s="3" t="s">
        <v>52</v>
      </c>
      <c r="Q240" s="4" t="n">
        <v>38096</v>
      </c>
      <c r="R240" s="4" t="n">
        <v>126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1</v>
      </c>
      <c r="AA240" s="14" t="n">
        <v>0</v>
      </c>
      <c r="AB240" s="14" t="n">
        <v>0</v>
      </c>
      <c r="AC240" s="14" t="n">
        <v>0</v>
      </c>
      <c r="AD240" s="14" t="n">
        <v>0</v>
      </c>
      <c r="AE240" s="14" t="n">
        <v>0</v>
      </c>
      <c r="AF240" s="14" t="n">
        <v>0</v>
      </c>
      <c r="AG240" s="14" t="n">
        <v>0</v>
      </c>
      <c r="AH240" s="14" t="n">
        <v>0</v>
      </c>
      <c r="AI240" s="14" t="n">
        <v>0</v>
      </c>
      <c r="AJ240" s="14" t="n">
        <v>0</v>
      </c>
      <c r="AK240" s="14" t="n">
        <v>1</v>
      </c>
      <c r="AL240" s="14" t="n">
        <v>0</v>
      </c>
      <c r="AM240" s="14" t="n">
        <v>0</v>
      </c>
    </row>
    <row r="241" customFormat="false" ht="15" hidden="false" customHeight="false" outlineLevel="0" collapsed="false">
      <c r="A241" s="11" t="s">
        <v>389</v>
      </c>
      <c r="B241" s="11" t="s">
        <v>54</v>
      </c>
      <c r="C241" s="11" t="s">
        <v>41</v>
      </c>
      <c r="D241" s="11" t="s">
        <v>55</v>
      </c>
      <c r="E241" s="11" t="s">
        <v>118</v>
      </c>
      <c r="F241" s="11" t="s">
        <v>57</v>
      </c>
      <c r="G241" s="12" t="s">
        <v>390</v>
      </c>
      <c r="H241" s="11" t="s">
        <v>171</v>
      </c>
      <c r="I241" s="11" t="s">
        <v>171</v>
      </c>
      <c r="J241" s="11" t="s">
        <v>47</v>
      </c>
      <c r="K241" s="11" t="s">
        <v>59</v>
      </c>
      <c r="L241" s="11" t="s">
        <v>74</v>
      </c>
      <c r="M241" s="11" t="s">
        <v>50</v>
      </c>
      <c r="N241" s="11" t="s">
        <v>51</v>
      </c>
      <c r="O241" s="13" t="str">
        <f aca="false">IF(AND(R241&gt;600,Q241&gt;20000),"OBEDECE",IF(AND(R241&gt;300,Q241&gt;=10000,Q241&lt;=20000),"OBEDECE",IF(AND(R241&gt;150,Q241&gt;=5000,Q241&lt;=9999),"OBEDECE",IF(AND(R241&gt;60,Q241&gt;=2000,Q241&lt;=4999),"OBEDECE",IF(AND(R241&gt;30,Q241&gt;=1000,Q241&lt;=1999),"OBEDECE",IF(AND(R241&lt;=29,Q241&lt;=1000),"OBEDECE","NÃO OBEDECE"))))))</f>
        <v>NÃO OBEDECE</v>
      </c>
      <c r="P241" s="3" t="s">
        <v>52</v>
      </c>
      <c r="Q241" s="4" t="n">
        <v>31726</v>
      </c>
      <c r="R241" s="4" t="n">
        <v>115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1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</row>
    <row r="242" customFormat="false" ht="15" hidden="false" customHeight="false" outlineLevel="0" collapsed="false">
      <c r="A242" s="11" t="s">
        <v>391</v>
      </c>
      <c r="B242" s="11" t="s">
        <v>54</v>
      </c>
      <c r="C242" s="11" t="s">
        <v>66</v>
      </c>
      <c r="D242" s="11" t="s">
        <v>55</v>
      </c>
      <c r="E242" s="11" t="s">
        <v>56</v>
      </c>
      <c r="F242" s="11" t="s">
        <v>57</v>
      </c>
      <c r="G242" s="12" t="s">
        <v>112</v>
      </c>
      <c r="H242" s="11" t="s">
        <v>171</v>
      </c>
      <c r="I242" s="11" t="s">
        <v>47</v>
      </c>
      <c r="J242" s="11" t="s">
        <v>47</v>
      </c>
      <c r="K242" s="11" t="s">
        <v>59</v>
      </c>
      <c r="L242" s="11" t="s">
        <v>74</v>
      </c>
      <c r="M242" s="11" t="s">
        <v>50</v>
      </c>
      <c r="N242" s="11" t="s">
        <v>51</v>
      </c>
      <c r="O242" s="13" t="str">
        <f aca="false">IF(AND(R242&gt;600,Q242&gt;20000),"OBEDECE",IF(AND(R242&gt;300,Q242&gt;=10000,Q242&lt;=20000),"OBEDECE",IF(AND(R242&gt;150,Q242&gt;=5000,Q242&lt;=9999),"OBEDECE",IF(AND(R242&gt;60,Q242&gt;=2000,Q242&lt;=4999),"OBEDECE",IF(AND(R242&gt;30,Q242&gt;=1000,Q242&lt;=1999),"OBEDECE",IF(AND(R242&lt;=29,Q242&lt;=1000),"OBEDECE","NÃO OBEDECE"))))))</f>
        <v>NÃO OBEDECE</v>
      </c>
      <c r="P242" s="3" t="s">
        <v>62</v>
      </c>
      <c r="Q242" s="4" t="n">
        <v>28415</v>
      </c>
      <c r="R242" s="4" t="n">
        <v>101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4" t="n">
        <v>0</v>
      </c>
      <c r="AC242" s="14" t="n">
        <v>0</v>
      </c>
      <c r="AD242" s="14" t="n">
        <v>0</v>
      </c>
      <c r="AE242" s="14" t="n">
        <v>0</v>
      </c>
      <c r="AF242" s="14" t="n">
        <v>0</v>
      </c>
      <c r="AG242" s="14" t="n">
        <v>0</v>
      </c>
      <c r="AH242" s="14" t="n">
        <v>0</v>
      </c>
      <c r="AI242" s="14" t="n">
        <v>0</v>
      </c>
      <c r="AJ242" s="14" t="n">
        <v>0</v>
      </c>
      <c r="AK242" s="14" t="n">
        <v>0</v>
      </c>
      <c r="AL242" s="14" t="n">
        <v>0</v>
      </c>
      <c r="AM242" s="14" t="n">
        <v>0</v>
      </c>
    </row>
    <row r="243" customFormat="false" ht="15" hidden="false" customHeight="false" outlineLevel="0" collapsed="false">
      <c r="A243" s="11" t="s">
        <v>392</v>
      </c>
      <c r="B243" s="11" t="s">
        <v>54</v>
      </c>
      <c r="C243" s="11" t="s">
        <v>66</v>
      </c>
      <c r="D243" s="11" t="s">
        <v>42</v>
      </c>
      <c r="E243" s="11" t="s">
        <v>118</v>
      </c>
      <c r="F243" s="11" t="s">
        <v>57</v>
      </c>
      <c r="G243" s="12" t="s">
        <v>79</v>
      </c>
      <c r="H243" s="11" t="s">
        <v>171</v>
      </c>
      <c r="I243" s="11" t="s">
        <v>46</v>
      </c>
      <c r="J243" s="11" t="s">
        <v>47</v>
      </c>
      <c r="K243" s="11" t="s">
        <v>59</v>
      </c>
      <c r="L243" s="11" t="s">
        <v>74</v>
      </c>
      <c r="M243" s="11" t="s">
        <v>50</v>
      </c>
      <c r="N243" s="11" t="s">
        <v>51</v>
      </c>
      <c r="O243" s="13" t="str">
        <f aca="false">IF(AND(R243&gt;600,Q243&gt;20000),"OBEDECE",IF(AND(R243&gt;300,Q243&gt;=10000,Q243&lt;=20000),"OBEDECE",IF(AND(R243&gt;150,Q243&gt;=5000,Q243&lt;=9999),"OBEDECE",IF(AND(R243&gt;60,Q243&gt;=2000,Q243&lt;=4999),"OBEDECE",IF(AND(R243&gt;30,Q243&gt;=1000,Q243&lt;=1999),"OBEDECE",IF(AND(R243&lt;=29,Q243&lt;=1000),"OBEDECE","NÃO OBEDECE"))))))</f>
        <v>NÃO OBEDECE</v>
      </c>
      <c r="P243" s="3" t="s">
        <v>52</v>
      </c>
      <c r="Q243" s="4" t="n">
        <v>27542</v>
      </c>
      <c r="R243" s="4" t="n">
        <v>97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1</v>
      </c>
    </row>
    <row r="244" customFormat="false" ht="15" hidden="false" customHeight="false" outlineLevel="0" collapsed="false">
      <c r="A244" s="11" t="s">
        <v>393</v>
      </c>
      <c r="B244" s="11" t="s">
        <v>54</v>
      </c>
      <c r="C244" s="11" t="s">
        <v>41</v>
      </c>
      <c r="D244" s="11" t="s">
        <v>55</v>
      </c>
      <c r="E244" s="11" t="s">
        <v>118</v>
      </c>
      <c r="F244" s="11" t="s">
        <v>57</v>
      </c>
      <c r="G244" s="12" t="s">
        <v>201</v>
      </c>
      <c r="H244" s="11" t="s">
        <v>171</v>
      </c>
      <c r="I244" s="11" t="s">
        <v>46</v>
      </c>
      <c r="J244" s="11" t="s">
        <v>47</v>
      </c>
      <c r="K244" s="11" t="s">
        <v>59</v>
      </c>
      <c r="L244" s="11" t="s">
        <v>74</v>
      </c>
      <c r="M244" s="11" t="s">
        <v>60</v>
      </c>
      <c r="N244" s="11" t="s">
        <v>61</v>
      </c>
      <c r="O244" s="13" t="str">
        <f aca="false">IF(AND(R244&gt;600,Q244&gt;20000),"OBEDECE",IF(AND(R244&gt;300,Q244&gt;=10000,Q244&lt;=20000),"OBEDECE",IF(AND(R244&gt;150,Q244&gt;=5000,Q244&lt;=9999),"OBEDECE",IF(AND(R244&gt;60,Q244&gt;=2000,Q244&lt;=4999),"OBEDECE",IF(AND(R244&gt;30,Q244&gt;=1000,Q244&lt;=1999),"OBEDECE",IF(AND(R244&lt;=29,Q244&lt;=1000),"OBEDECE","NÃO OBEDECE"))))))</f>
        <v>NÃO OBEDECE</v>
      </c>
      <c r="P244" s="3" t="s">
        <v>62</v>
      </c>
      <c r="Q244" s="4" t="n">
        <v>16836</v>
      </c>
      <c r="R244" s="4" t="n">
        <v>92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4" t="n">
        <v>0</v>
      </c>
      <c r="AC244" s="14" t="n">
        <v>0</v>
      </c>
      <c r="AD244" s="14" t="n">
        <v>0</v>
      </c>
      <c r="AE244" s="14" t="n">
        <v>0</v>
      </c>
      <c r="AF244" s="14" t="n">
        <v>0</v>
      </c>
      <c r="AG244" s="14" t="n">
        <v>0</v>
      </c>
      <c r="AH244" s="14" t="n">
        <v>0</v>
      </c>
      <c r="AI244" s="14" t="n">
        <v>0</v>
      </c>
      <c r="AJ244" s="14" t="n">
        <v>0</v>
      </c>
      <c r="AK244" s="14" t="n">
        <v>0</v>
      </c>
      <c r="AL244" s="14" t="n">
        <v>0</v>
      </c>
      <c r="AM244" s="14" t="n">
        <v>0</v>
      </c>
    </row>
    <row r="245" customFormat="false" ht="15" hidden="false" customHeight="false" outlineLevel="0" collapsed="false">
      <c r="A245" s="11" t="s">
        <v>394</v>
      </c>
      <c r="B245" s="11" t="s">
        <v>40</v>
      </c>
      <c r="C245" s="11" t="s">
        <v>66</v>
      </c>
      <c r="D245" s="11" t="s">
        <v>42</v>
      </c>
      <c r="E245" s="11" t="s">
        <v>118</v>
      </c>
      <c r="F245" s="11" t="s">
        <v>57</v>
      </c>
      <c r="G245" s="12" t="s">
        <v>103</v>
      </c>
      <c r="H245" s="11" t="s">
        <v>171</v>
      </c>
      <c r="I245" s="11" t="s">
        <v>46</v>
      </c>
      <c r="J245" s="11" t="s">
        <v>47</v>
      </c>
      <c r="K245" s="11" t="s">
        <v>59</v>
      </c>
      <c r="L245" s="11" t="s">
        <v>74</v>
      </c>
      <c r="M245" s="11" t="s">
        <v>60</v>
      </c>
      <c r="N245" s="11" t="s">
        <v>51</v>
      </c>
      <c r="O245" s="13" t="str">
        <f aca="false">IF(AND(R245&gt;600,Q245&gt;20000),"OBEDECE",IF(AND(R245&gt;300,Q245&gt;=10000,Q245&lt;=20000),"OBEDECE",IF(AND(R245&gt;150,Q245&gt;=5000,Q245&lt;=9999),"OBEDECE",IF(AND(R245&gt;60,Q245&gt;=2000,Q245&lt;=4999),"OBEDECE",IF(AND(R245&gt;30,Q245&gt;=1000,Q245&lt;=1999),"OBEDECE",IF(AND(R245&lt;=29,Q245&lt;=1000),"OBEDECE","NÃO OBEDECE"))))))</f>
        <v>NÃO OBEDECE</v>
      </c>
      <c r="P245" s="3" t="s">
        <v>62</v>
      </c>
      <c r="Q245" s="4" t="n">
        <v>23194</v>
      </c>
      <c r="R245" s="4" t="n">
        <v>111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</row>
    <row r="246" customFormat="false" ht="15" hidden="false" customHeight="false" outlineLevel="0" collapsed="false">
      <c r="A246" s="11" t="s">
        <v>395</v>
      </c>
      <c r="B246" s="11" t="s">
        <v>54</v>
      </c>
      <c r="C246" s="11" t="s">
        <v>66</v>
      </c>
      <c r="D246" s="11" t="s">
        <v>55</v>
      </c>
      <c r="E246" s="11" t="s">
        <v>118</v>
      </c>
      <c r="F246" s="11" t="s">
        <v>57</v>
      </c>
      <c r="G246" s="15" t="s">
        <v>95</v>
      </c>
      <c r="H246" s="11" t="s">
        <v>171</v>
      </c>
      <c r="I246" s="11" t="s">
        <v>46</v>
      </c>
      <c r="J246" s="11" t="s">
        <v>47</v>
      </c>
      <c r="K246" s="11" t="s">
        <v>59</v>
      </c>
      <c r="L246" s="11" t="s">
        <v>74</v>
      </c>
      <c r="M246" s="11" t="s">
        <v>60</v>
      </c>
      <c r="N246" s="11" t="s">
        <v>61</v>
      </c>
      <c r="O246" s="13" t="str">
        <f aca="false">IF(AND(R246&gt;600,Q246&gt;20000),"OBEDECE",IF(AND(R246&gt;300,Q246&gt;=10000,Q246&lt;=20000),"OBEDECE",IF(AND(R246&gt;150,Q246&gt;=5000,Q246&lt;=9999),"OBEDECE",IF(AND(R246&gt;60,Q246&gt;=2000,Q246&lt;=4999),"OBEDECE",IF(AND(R246&gt;30,Q246&gt;=1000,Q246&lt;=1999),"OBEDECE",IF(AND(R246&lt;=29,Q246&lt;=1000),"OBEDECE","NÃO OBEDECE"))))))</f>
        <v>NÃO OBEDECE</v>
      </c>
      <c r="P246" s="3" t="s">
        <v>62</v>
      </c>
      <c r="Q246" s="4" t="n">
        <v>12579</v>
      </c>
      <c r="R246" s="4" t="n">
        <v>90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14" t="n">
        <v>0</v>
      </c>
      <c r="AB246" s="14" t="n">
        <v>0</v>
      </c>
      <c r="AC246" s="14" t="n">
        <v>0</v>
      </c>
      <c r="AD246" s="14" t="n">
        <v>0</v>
      </c>
      <c r="AE246" s="14" t="n">
        <v>0</v>
      </c>
      <c r="AF246" s="14" t="n">
        <v>0</v>
      </c>
      <c r="AG246" s="14" t="n">
        <v>0</v>
      </c>
      <c r="AH246" s="14" t="n">
        <v>0</v>
      </c>
      <c r="AI246" s="14" t="n">
        <v>0</v>
      </c>
      <c r="AJ246" s="14" t="n">
        <v>0</v>
      </c>
      <c r="AK246" s="14" t="n">
        <v>0</v>
      </c>
      <c r="AL246" s="14" t="n">
        <v>0</v>
      </c>
      <c r="AM246" s="14" t="n">
        <v>0</v>
      </c>
    </row>
    <row r="247" customFormat="false" ht="15" hidden="false" customHeight="false" outlineLevel="0" collapsed="false">
      <c r="A247" s="11" t="s">
        <v>396</v>
      </c>
      <c r="B247" s="11" t="s">
        <v>54</v>
      </c>
      <c r="C247" s="11" t="s">
        <v>41</v>
      </c>
      <c r="D247" s="11" t="s">
        <v>55</v>
      </c>
      <c r="E247" s="11" t="s">
        <v>118</v>
      </c>
      <c r="F247" s="11" t="s">
        <v>57</v>
      </c>
      <c r="G247" s="12" t="s">
        <v>73</v>
      </c>
      <c r="H247" s="11" t="s">
        <v>171</v>
      </c>
      <c r="I247" s="11" t="s">
        <v>46</v>
      </c>
      <c r="J247" s="11" t="s">
        <v>47</v>
      </c>
      <c r="K247" s="11" t="s">
        <v>59</v>
      </c>
      <c r="L247" s="11" t="s">
        <v>74</v>
      </c>
      <c r="M247" s="11" t="s">
        <v>60</v>
      </c>
      <c r="N247" s="11" t="s">
        <v>51</v>
      </c>
      <c r="O247" s="13" t="str">
        <f aca="false">IF(AND(R247&gt;600,Q247&gt;20000),"OBEDECE",IF(AND(R247&gt;300,Q247&gt;=10000,Q247&lt;=20000),"OBEDECE",IF(AND(R247&gt;150,Q247&gt;=5000,Q247&lt;=9999),"OBEDECE",IF(AND(R247&gt;60,Q247&gt;=2000,Q247&lt;=4999),"OBEDECE",IF(AND(R247&gt;30,Q247&gt;=1000,Q247&lt;=1999),"OBEDECE",IF(AND(R247&lt;=29,Q247&lt;=1000),"OBEDECE","NÃO OBEDECE"))))))</f>
        <v>NÃO OBEDECE</v>
      </c>
      <c r="P247" s="3" t="s">
        <v>62</v>
      </c>
      <c r="Q247" s="4" t="n">
        <v>24148</v>
      </c>
      <c r="R247" s="4" t="n">
        <v>90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</row>
    <row r="248" customFormat="false" ht="15" hidden="false" customHeight="false" outlineLevel="0" collapsed="false">
      <c r="A248" s="11" t="s">
        <v>397</v>
      </c>
      <c r="B248" s="11" t="s">
        <v>40</v>
      </c>
      <c r="C248" s="11" t="s">
        <v>66</v>
      </c>
      <c r="D248" s="11" t="s">
        <v>42</v>
      </c>
      <c r="E248" s="11" t="s">
        <v>56</v>
      </c>
      <c r="F248" s="11" t="s">
        <v>57</v>
      </c>
      <c r="G248" s="15" t="s">
        <v>232</v>
      </c>
      <c r="H248" s="11" t="s">
        <v>171</v>
      </c>
      <c r="I248" s="11" t="s">
        <v>47</v>
      </c>
      <c r="J248" s="11" t="s">
        <v>47</v>
      </c>
      <c r="K248" s="11" t="s">
        <v>48</v>
      </c>
      <c r="L248" s="11" t="s">
        <v>74</v>
      </c>
      <c r="M248" s="11" t="s">
        <v>60</v>
      </c>
      <c r="N248" s="11" t="s">
        <v>123</v>
      </c>
      <c r="O248" s="13" t="str">
        <f aca="false">IF(AND(R248&gt;600,Q248&gt;20000),"OBEDECE",IF(AND(R248&gt;300,Q248&gt;=10000,Q248&lt;=20000),"OBEDECE",IF(AND(R248&gt;150,Q248&gt;=5000,Q248&lt;=9999),"OBEDECE",IF(AND(R248&gt;60,Q248&gt;=2000,Q248&lt;=4999),"OBEDECE",IF(AND(R248&gt;30,Q248&gt;=1000,Q248&lt;=1999),"OBEDECE",IF(AND(R248&lt;=29,Q248&lt;=1000),"OBEDECE","NÃO OBEDECE"))))))</f>
        <v>OBEDECE</v>
      </c>
      <c r="P248" s="3" t="s">
        <v>62</v>
      </c>
      <c r="Q248" s="4" t="n">
        <v>4083</v>
      </c>
      <c r="R248" s="4" t="n">
        <v>68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14" t="n">
        <v>0</v>
      </c>
      <c r="AB248" s="14" t="n">
        <v>0</v>
      </c>
      <c r="AC248" s="14" t="n">
        <v>0</v>
      </c>
      <c r="AD248" s="14" t="n">
        <v>0</v>
      </c>
      <c r="AE248" s="14" t="n">
        <v>0</v>
      </c>
      <c r="AF248" s="14" t="n">
        <v>0</v>
      </c>
      <c r="AG248" s="14" t="n">
        <v>0</v>
      </c>
      <c r="AH248" s="14" t="n">
        <v>0</v>
      </c>
      <c r="AI248" s="14" t="n">
        <v>0</v>
      </c>
      <c r="AJ248" s="14" t="n">
        <v>0</v>
      </c>
      <c r="AK248" s="14" t="n">
        <v>0</v>
      </c>
      <c r="AL248" s="14" t="n">
        <v>0</v>
      </c>
      <c r="AM248" s="14" t="n">
        <v>0</v>
      </c>
    </row>
    <row r="249" customFormat="false" ht="15" hidden="false" customHeight="false" outlineLevel="0" collapsed="false">
      <c r="A249" s="11" t="s">
        <v>398</v>
      </c>
      <c r="B249" s="11" t="s">
        <v>54</v>
      </c>
      <c r="C249" s="11" t="s">
        <v>66</v>
      </c>
      <c r="D249" s="11" t="s">
        <v>55</v>
      </c>
      <c r="E249" s="11" t="s">
        <v>56</v>
      </c>
      <c r="F249" s="11" t="s">
        <v>57</v>
      </c>
      <c r="G249" s="12" t="s">
        <v>399</v>
      </c>
      <c r="H249" s="11" t="s">
        <v>171</v>
      </c>
      <c r="I249" s="11" t="s">
        <v>47</v>
      </c>
      <c r="J249" s="11" t="s">
        <v>47</v>
      </c>
      <c r="K249" s="11" t="s">
        <v>48</v>
      </c>
      <c r="L249" s="11" t="s">
        <v>135</v>
      </c>
      <c r="M249" s="11" t="s">
        <v>60</v>
      </c>
      <c r="N249" s="11" t="s">
        <v>61</v>
      </c>
      <c r="O249" s="13" t="str">
        <f aca="false">IF(AND(R249&gt;600,Q249&gt;20000),"OBEDECE",IF(AND(R249&gt;300,Q249&gt;=10000,Q249&lt;=20000),"OBEDECE",IF(AND(R249&gt;150,Q249&gt;=5000,Q249&lt;=9999),"OBEDECE",IF(AND(R249&gt;60,Q249&gt;=2000,Q249&lt;=4999),"OBEDECE",IF(AND(R249&gt;30,Q249&gt;=1000,Q249&lt;=1999),"OBEDECE",IF(AND(R249&lt;=29,Q249&lt;=1000),"OBEDECE","NÃO OBEDECE"))))))</f>
        <v>NÃO OBEDECE</v>
      </c>
      <c r="P249" s="3" t="s">
        <v>62</v>
      </c>
      <c r="Q249" s="4" t="n">
        <v>10413</v>
      </c>
      <c r="R249" s="4" t="n">
        <v>87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>0</v>
      </c>
      <c r="AB249" s="14" t="n">
        <v>0</v>
      </c>
      <c r="AC249" s="14" t="n">
        <v>0</v>
      </c>
      <c r="AD249" s="14" t="n">
        <v>0</v>
      </c>
      <c r="AE249" s="14" t="n">
        <v>0</v>
      </c>
      <c r="AF249" s="14" t="n">
        <v>0</v>
      </c>
      <c r="AG249" s="14" t="n">
        <v>0</v>
      </c>
      <c r="AH249" s="14" t="n">
        <v>0</v>
      </c>
      <c r="AI249" s="14" t="n">
        <v>0</v>
      </c>
      <c r="AJ249" s="14" t="n">
        <v>0</v>
      </c>
      <c r="AK249" s="14" t="n">
        <v>0</v>
      </c>
      <c r="AL249" s="14" t="n">
        <v>0</v>
      </c>
      <c r="AM249" s="14" t="n">
        <v>0</v>
      </c>
    </row>
    <row r="250" customFormat="false" ht="15" hidden="false" customHeight="false" outlineLevel="0" collapsed="false">
      <c r="A250" s="11" t="s">
        <v>400</v>
      </c>
      <c r="B250" s="11" t="s">
        <v>40</v>
      </c>
      <c r="C250" s="11" t="s">
        <v>41</v>
      </c>
      <c r="D250" s="11" t="s">
        <v>42</v>
      </c>
      <c r="E250" s="11" t="s">
        <v>56</v>
      </c>
      <c r="F250" s="11" t="s">
        <v>57</v>
      </c>
      <c r="G250" s="12" t="s">
        <v>175</v>
      </c>
      <c r="H250" s="11" t="s">
        <v>171</v>
      </c>
      <c r="I250" s="11" t="s">
        <v>47</v>
      </c>
      <c r="J250" s="11" t="s">
        <v>47</v>
      </c>
      <c r="K250" s="11" t="s">
        <v>48</v>
      </c>
      <c r="L250" s="11" t="s">
        <v>74</v>
      </c>
      <c r="M250" s="11" t="s">
        <v>60</v>
      </c>
      <c r="N250" s="11" t="s">
        <v>123</v>
      </c>
      <c r="O250" s="13" t="str">
        <f aca="false">IF(AND(R250&gt;600,Q250&gt;20000),"OBEDECE",IF(AND(R250&gt;300,Q250&gt;=10000,Q250&lt;=20000),"OBEDECE",IF(AND(R250&gt;150,Q250&gt;=5000,Q250&lt;=9999),"OBEDECE",IF(AND(R250&gt;60,Q250&gt;=2000,Q250&lt;=4999),"OBEDECE",IF(AND(R250&gt;30,Q250&gt;=1000,Q250&lt;=1999),"OBEDECE",IF(AND(R250&lt;=29,Q250&lt;=1000),"OBEDECE","NÃO OBEDECE"))))))</f>
        <v>OBEDECE</v>
      </c>
      <c r="P250" s="3" t="s">
        <v>62</v>
      </c>
      <c r="Q250" s="4" t="n">
        <v>4820</v>
      </c>
      <c r="R250" s="4" t="n">
        <v>63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14" t="n">
        <v>0</v>
      </c>
      <c r="AB250" s="14" t="n">
        <v>0</v>
      </c>
      <c r="AC250" s="14" t="n">
        <v>0</v>
      </c>
      <c r="AD250" s="14" t="n">
        <v>0</v>
      </c>
      <c r="AE250" s="14" t="n">
        <v>0</v>
      </c>
      <c r="AF250" s="14" t="n">
        <v>0</v>
      </c>
      <c r="AG250" s="14" t="n">
        <v>0</v>
      </c>
      <c r="AH250" s="14" t="n">
        <v>0</v>
      </c>
      <c r="AI250" s="14" t="n">
        <v>0</v>
      </c>
      <c r="AJ250" s="14" t="n">
        <v>0</v>
      </c>
      <c r="AK250" s="14" t="n">
        <v>0</v>
      </c>
      <c r="AL250" s="14" t="n">
        <v>0</v>
      </c>
      <c r="AM250" s="14" t="n">
        <v>0</v>
      </c>
    </row>
    <row r="251" customFormat="false" ht="15" hidden="false" customHeight="false" outlineLevel="0" collapsed="false">
      <c r="A251" s="10" t="s">
        <v>401</v>
      </c>
      <c r="B251" s="11" t="s">
        <v>54</v>
      </c>
      <c r="C251" s="11" t="s">
        <v>41</v>
      </c>
      <c r="D251" s="11" t="s">
        <v>42</v>
      </c>
      <c r="E251" s="11" t="s">
        <v>118</v>
      </c>
      <c r="F251" s="11" t="s">
        <v>57</v>
      </c>
      <c r="G251" s="12" t="s">
        <v>64</v>
      </c>
      <c r="H251" s="11" t="s">
        <v>171</v>
      </c>
      <c r="I251" s="11" t="s">
        <v>46</v>
      </c>
      <c r="J251" s="11" t="s">
        <v>171</v>
      </c>
      <c r="K251" s="11" t="s">
        <v>48</v>
      </c>
      <c r="L251" s="11" t="s">
        <v>135</v>
      </c>
      <c r="M251" s="11" t="s">
        <v>60</v>
      </c>
      <c r="N251" s="11" t="s">
        <v>51</v>
      </c>
      <c r="O251" s="13" t="str">
        <f aca="false">IF(AND(R251&gt;600,Q251&gt;20000),"OBEDECE",IF(AND(R251&gt;300,Q251&gt;=10000,Q251&lt;=20000),"OBEDECE",IF(AND(R251&gt;150,Q251&gt;=5000,Q251&lt;=9999),"OBEDECE",IF(AND(R251&gt;60,Q251&gt;=2000,Q251&lt;=4999),"OBEDECE",IF(AND(R251&gt;30,Q251&gt;=1000,Q251&lt;=1999),"OBEDECE",IF(AND(R251&lt;=29,Q251&lt;=1000),"OBEDECE","NÃO OBEDECE"))))))</f>
        <v>NÃO OBEDECE</v>
      </c>
      <c r="P251" s="3" t="s">
        <v>62</v>
      </c>
      <c r="Q251" s="4" t="n">
        <v>26726</v>
      </c>
      <c r="R251" s="4" t="n">
        <v>137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14" t="n">
        <v>0</v>
      </c>
      <c r="AB251" s="14" t="n">
        <v>0</v>
      </c>
      <c r="AC251" s="14" t="n">
        <v>0</v>
      </c>
      <c r="AD251" s="14" t="n">
        <v>0</v>
      </c>
      <c r="AE251" s="14" t="n">
        <v>0</v>
      </c>
      <c r="AF251" s="14" t="n">
        <v>0</v>
      </c>
      <c r="AG251" s="14" t="n">
        <v>0</v>
      </c>
      <c r="AH251" s="14" t="n">
        <v>0</v>
      </c>
      <c r="AI251" s="14" t="n">
        <v>0</v>
      </c>
      <c r="AJ251" s="14" t="n">
        <v>0</v>
      </c>
      <c r="AK251" s="14" t="n">
        <v>0</v>
      </c>
      <c r="AL251" s="14" t="n">
        <v>0</v>
      </c>
      <c r="AM251" s="14" t="n">
        <v>0</v>
      </c>
    </row>
    <row r="252" customFormat="false" ht="15" hidden="false" customHeight="false" outlineLevel="0" collapsed="false">
      <c r="A252" s="11" t="s">
        <v>402</v>
      </c>
      <c r="B252" s="11" t="s">
        <v>54</v>
      </c>
      <c r="C252" s="11" t="s">
        <v>41</v>
      </c>
      <c r="D252" s="11" t="s">
        <v>55</v>
      </c>
      <c r="E252" s="11" t="s">
        <v>118</v>
      </c>
      <c r="F252" s="11" t="s">
        <v>57</v>
      </c>
      <c r="G252" s="12" t="s">
        <v>228</v>
      </c>
      <c r="H252" s="11" t="s">
        <v>171</v>
      </c>
      <c r="I252" s="11" t="s">
        <v>46</v>
      </c>
      <c r="J252" s="11" t="s">
        <v>47</v>
      </c>
      <c r="K252" s="11" t="s">
        <v>59</v>
      </c>
      <c r="L252" s="11" t="s">
        <v>49</v>
      </c>
      <c r="M252" s="11" t="s">
        <v>60</v>
      </c>
      <c r="N252" s="11" t="s">
        <v>61</v>
      </c>
      <c r="O252" s="13" t="str">
        <f aca="false">IF(AND(R252&gt;600,Q252&gt;20000),"OBEDECE",IF(AND(R252&gt;300,Q252&gt;=10000,Q252&lt;=20000),"OBEDECE",IF(AND(R252&gt;150,Q252&gt;=5000,Q252&lt;=9999),"OBEDECE",IF(AND(R252&gt;60,Q252&gt;=2000,Q252&lt;=4999),"OBEDECE",IF(AND(R252&gt;30,Q252&gt;=1000,Q252&lt;=1999),"OBEDECE",IF(AND(R252&lt;=29,Q252&lt;=1000),"OBEDECE","NÃO OBEDECE"))))))</f>
        <v>NÃO OBEDECE</v>
      </c>
      <c r="P252" s="3" t="s">
        <v>62</v>
      </c>
      <c r="Q252" s="4" t="n">
        <v>15979</v>
      </c>
      <c r="R252" s="4" t="n">
        <v>104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14" t="n">
        <v>0</v>
      </c>
      <c r="AB252" s="14" t="n">
        <v>0</v>
      </c>
      <c r="AC252" s="14" t="n">
        <v>0</v>
      </c>
      <c r="AD252" s="14" t="n">
        <v>0</v>
      </c>
      <c r="AE252" s="14" t="n">
        <v>0</v>
      </c>
      <c r="AF252" s="14" t="n">
        <v>0</v>
      </c>
      <c r="AG252" s="14" t="n">
        <v>0</v>
      </c>
      <c r="AH252" s="14" t="n">
        <v>0</v>
      </c>
      <c r="AI252" s="14" t="n">
        <v>0</v>
      </c>
      <c r="AJ252" s="14" t="n">
        <v>0</v>
      </c>
      <c r="AK252" s="14" t="n">
        <v>0</v>
      </c>
      <c r="AL252" s="14" t="n">
        <v>0</v>
      </c>
      <c r="AM252" s="14" t="n">
        <v>0</v>
      </c>
    </row>
    <row r="253" customFormat="false" ht="15" hidden="false" customHeight="false" outlineLevel="0" collapsed="false">
      <c r="A253" s="10" t="s">
        <v>403</v>
      </c>
      <c r="B253" s="11" t="s">
        <v>40</v>
      </c>
      <c r="C253" s="11" t="s">
        <v>41</v>
      </c>
      <c r="D253" s="11" t="s">
        <v>42</v>
      </c>
      <c r="E253" s="11" t="s">
        <v>43</v>
      </c>
      <c r="F253" s="11" t="s">
        <v>44</v>
      </c>
      <c r="G253" s="12" t="s">
        <v>45</v>
      </c>
      <c r="H253" s="11" t="s">
        <v>171</v>
      </c>
      <c r="I253" s="11" t="s">
        <v>47</v>
      </c>
      <c r="J253" s="11" t="s">
        <v>171</v>
      </c>
      <c r="K253" s="11" t="s">
        <v>48</v>
      </c>
      <c r="L253" s="11" t="s">
        <v>74</v>
      </c>
      <c r="M253" s="11" t="s">
        <v>60</v>
      </c>
      <c r="N253" s="11" t="s">
        <v>71</v>
      </c>
      <c r="O253" s="13" t="str">
        <f aca="false">IF(AND(R253&gt;600,Q253&gt;20000),"OBEDECE",IF(AND(R253&gt;300,Q253&gt;=10000,Q253&lt;=20000),"OBEDECE",IF(AND(R253&gt;150,Q253&gt;=5000,Q253&lt;=9999),"OBEDECE",IF(AND(R253&gt;60,Q253&gt;=2000,Q253&lt;=4999),"OBEDECE",IF(AND(R253&gt;30,Q253&gt;=1000,Q253&lt;=1999),"OBEDECE",IF(AND(R253&lt;=29,Q253&lt;=1000),"OBEDECE","NÃO OBEDECE"))))))</f>
        <v>NÃO OBEDECE</v>
      </c>
      <c r="P253" s="3" t="s">
        <v>62</v>
      </c>
      <c r="Q253" s="4" t="n">
        <v>9810</v>
      </c>
      <c r="R253" s="4" t="n">
        <v>98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4" t="n">
        <v>0</v>
      </c>
      <c r="AC253" s="14" t="n">
        <v>0</v>
      </c>
      <c r="AD253" s="14" t="n">
        <v>0</v>
      </c>
      <c r="AE253" s="14" t="n">
        <v>0</v>
      </c>
      <c r="AF253" s="14" t="n">
        <v>0</v>
      </c>
      <c r="AG253" s="14" t="n">
        <v>0</v>
      </c>
      <c r="AH253" s="14" t="n">
        <v>0</v>
      </c>
      <c r="AI253" s="14" t="n">
        <v>0</v>
      </c>
      <c r="AJ253" s="14" t="n">
        <v>0</v>
      </c>
      <c r="AK253" s="14" t="n">
        <v>0</v>
      </c>
      <c r="AL253" s="14" t="n">
        <v>0</v>
      </c>
      <c r="AM253" s="14" t="n">
        <v>0</v>
      </c>
    </row>
    <row r="254" customFormat="false" ht="15" hidden="true" customHeight="false" outlineLevel="0" collapsed="false">
      <c r="A254" s="11" t="s">
        <v>404</v>
      </c>
      <c r="B254" s="11" t="s">
        <v>40</v>
      </c>
      <c r="C254" s="11" t="s">
        <v>41</v>
      </c>
      <c r="D254" s="11" t="s">
        <v>42</v>
      </c>
      <c r="E254" s="11" t="s">
        <v>118</v>
      </c>
      <c r="F254" s="11" t="s">
        <v>57</v>
      </c>
      <c r="G254" s="12"/>
      <c r="H254" s="11" t="s">
        <v>171</v>
      </c>
      <c r="I254" s="11" t="s">
        <v>46</v>
      </c>
      <c r="J254" s="11" t="s">
        <v>47</v>
      </c>
      <c r="K254" s="11" t="s">
        <v>48</v>
      </c>
      <c r="L254" s="11" t="s">
        <v>135</v>
      </c>
      <c r="M254" s="11" t="s">
        <v>60</v>
      </c>
      <c r="N254" s="11" t="s">
        <v>51</v>
      </c>
      <c r="O254" s="13" t="str">
        <f aca="false">IF(AND(R254&gt;600,Q254&gt;20000),"OBEDECE",IF(AND(R254&gt;300,Q254&gt;=10000,Q254&lt;=20000),"OBEDECE",IF(AND(R254&gt;150,Q254&gt;=5000,Q254&lt;=9999),"OBEDECE",IF(AND(R254&gt;60,Q254&gt;=2000,Q254&lt;=4999),"OBEDECE",IF(AND(R254&gt;30,Q254&gt;=1000,Q254&lt;=1999),"OBEDECE",IF(AND(R254&lt;=29,Q254&lt;=1000),"OBEDECE","NÃO OBEDECE"))))))</f>
        <v>NÃO OBEDECE</v>
      </c>
      <c r="P254" s="3" t="s">
        <v>62</v>
      </c>
      <c r="Q254" s="4" t="n">
        <v>29304</v>
      </c>
      <c r="R254" s="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14" t="n">
        <v>0</v>
      </c>
      <c r="AB254" s="14" t="n">
        <v>0</v>
      </c>
      <c r="AC254" s="14" t="n">
        <v>0</v>
      </c>
      <c r="AD254" s="14" t="n">
        <v>0</v>
      </c>
      <c r="AE254" s="14" t="n">
        <v>0</v>
      </c>
      <c r="AF254" s="14" t="n">
        <v>0</v>
      </c>
      <c r="AG254" s="14" t="n">
        <v>0</v>
      </c>
      <c r="AH254" s="14" t="n">
        <v>0</v>
      </c>
      <c r="AI254" s="14" t="n">
        <v>0</v>
      </c>
      <c r="AJ254" s="14" t="n">
        <v>0</v>
      </c>
      <c r="AK254" s="14" t="n">
        <v>0</v>
      </c>
      <c r="AL254" s="14" t="n">
        <v>0</v>
      </c>
      <c r="AM254" s="14" t="n">
        <v>0</v>
      </c>
    </row>
    <row r="255" customFormat="false" ht="15" hidden="false" customHeight="false" outlineLevel="0" collapsed="false">
      <c r="A255" s="11" t="s">
        <v>405</v>
      </c>
      <c r="B255" s="11" t="s">
        <v>54</v>
      </c>
      <c r="C255" s="11" t="s">
        <v>41</v>
      </c>
      <c r="D255" s="11" t="s">
        <v>55</v>
      </c>
      <c r="E255" s="11" t="s">
        <v>118</v>
      </c>
      <c r="F255" s="11" t="s">
        <v>57</v>
      </c>
      <c r="G255" s="12" t="s">
        <v>103</v>
      </c>
      <c r="H255" s="11" t="s">
        <v>171</v>
      </c>
      <c r="I255" s="11" t="s">
        <v>46</v>
      </c>
      <c r="J255" s="11" t="s">
        <v>47</v>
      </c>
      <c r="K255" s="11" t="s">
        <v>59</v>
      </c>
      <c r="L255" s="11" t="s">
        <v>77</v>
      </c>
      <c r="M255" s="11" t="s">
        <v>60</v>
      </c>
      <c r="N255" s="11" t="s">
        <v>123</v>
      </c>
      <c r="O255" s="13" t="str">
        <f aca="false">IF(AND(R255&gt;600,Q255&gt;20000),"OBEDECE",IF(AND(R255&gt;300,Q255&gt;=10000,Q255&lt;=20000),"OBEDECE",IF(AND(R255&gt;150,Q255&gt;=5000,Q255&lt;=9999),"OBEDECE",IF(AND(R255&gt;60,Q255&gt;=2000,Q255&lt;=4999),"OBEDECE",IF(AND(R255&gt;30,Q255&gt;=1000,Q255&lt;=1999),"OBEDECE",IF(AND(R255&lt;=29,Q255&lt;=1000),"OBEDECE","NÃO OBEDECE"))))))</f>
        <v>OBEDECE</v>
      </c>
      <c r="P255" s="3" t="s">
        <v>62</v>
      </c>
      <c r="Q255" s="4" t="n">
        <v>4509</v>
      </c>
      <c r="R255" s="4" t="n">
        <v>74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4" t="n">
        <v>0</v>
      </c>
      <c r="AC255" s="14" t="n">
        <v>0</v>
      </c>
      <c r="AD255" s="14" t="n">
        <v>0</v>
      </c>
      <c r="AE255" s="14" t="n">
        <v>0</v>
      </c>
      <c r="AF255" s="14" t="n">
        <v>0</v>
      </c>
      <c r="AG255" s="14" t="n">
        <v>0</v>
      </c>
      <c r="AH255" s="14" t="n">
        <v>0</v>
      </c>
      <c r="AI255" s="14" t="n">
        <v>0</v>
      </c>
      <c r="AJ255" s="14" t="n">
        <v>0</v>
      </c>
      <c r="AK255" s="14" t="n">
        <v>0</v>
      </c>
      <c r="AL255" s="14" t="n">
        <v>0</v>
      </c>
      <c r="AM255" s="14" t="n">
        <v>0</v>
      </c>
    </row>
    <row r="256" customFormat="false" ht="15" hidden="false" customHeight="false" outlineLevel="0" collapsed="false">
      <c r="A256" s="11" t="s">
        <v>406</v>
      </c>
      <c r="B256" s="11" t="s">
        <v>54</v>
      </c>
      <c r="C256" s="11" t="s">
        <v>66</v>
      </c>
      <c r="D256" s="11" t="s">
        <v>42</v>
      </c>
      <c r="E256" s="11" t="s">
        <v>118</v>
      </c>
      <c r="F256" s="11" t="s">
        <v>57</v>
      </c>
      <c r="G256" s="12" t="s">
        <v>201</v>
      </c>
      <c r="H256" s="11" t="s">
        <v>171</v>
      </c>
      <c r="I256" s="11" t="s">
        <v>46</v>
      </c>
      <c r="J256" s="11" t="s">
        <v>47</v>
      </c>
      <c r="K256" s="11" t="s">
        <v>59</v>
      </c>
      <c r="L256" s="11" t="s">
        <v>74</v>
      </c>
      <c r="M256" s="11" t="s">
        <v>60</v>
      </c>
      <c r="N256" s="11" t="s">
        <v>71</v>
      </c>
      <c r="O256" s="13" t="str">
        <f aca="false">IF(AND(R256&gt;600,Q256&gt;20000),"OBEDECE",IF(AND(R256&gt;300,Q256&gt;=10000,Q256&lt;=20000),"OBEDECE",IF(AND(R256&gt;150,Q256&gt;=5000,Q256&lt;=9999),"OBEDECE",IF(AND(R256&gt;60,Q256&gt;=2000,Q256&lt;=4999),"OBEDECE",IF(AND(R256&gt;30,Q256&gt;=1000,Q256&lt;=1999),"OBEDECE",IF(AND(R256&lt;=29,Q256&lt;=1000),"OBEDECE","NÃO OBEDECE"))))))</f>
        <v>NÃO OBEDECE</v>
      </c>
      <c r="P256" s="3" t="s">
        <v>62</v>
      </c>
      <c r="Q256" s="4" t="n">
        <v>8058</v>
      </c>
      <c r="R256" s="4" t="n">
        <v>64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14" t="n">
        <v>0</v>
      </c>
      <c r="AB256" s="14" t="n">
        <v>0</v>
      </c>
      <c r="AC256" s="14" t="n">
        <v>0</v>
      </c>
      <c r="AD256" s="14" t="n">
        <v>0</v>
      </c>
      <c r="AE256" s="14" t="n">
        <v>0</v>
      </c>
      <c r="AF256" s="14" t="n">
        <v>0</v>
      </c>
      <c r="AG256" s="14" t="n">
        <v>0</v>
      </c>
      <c r="AH256" s="14" t="n">
        <v>0</v>
      </c>
      <c r="AI256" s="14" t="n">
        <v>0</v>
      </c>
      <c r="AJ256" s="14" t="n">
        <v>0</v>
      </c>
      <c r="AK256" s="14" t="n">
        <v>0</v>
      </c>
      <c r="AL256" s="14" t="n">
        <v>0</v>
      </c>
      <c r="AM256" s="14" t="n">
        <v>0</v>
      </c>
    </row>
    <row r="257" customFormat="false" ht="15" hidden="false" customHeight="false" outlineLevel="0" collapsed="false">
      <c r="A257" s="11" t="s">
        <v>407</v>
      </c>
      <c r="B257" s="11" t="s">
        <v>54</v>
      </c>
      <c r="C257" s="11" t="s">
        <v>66</v>
      </c>
      <c r="D257" s="11" t="s">
        <v>55</v>
      </c>
      <c r="E257" s="11" t="s">
        <v>118</v>
      </c>
      <c r="F257" s="11" t="s">
        <v>57</v>
      </c>
      <c r="G257" s="12" t="s">
        <v>112</v>
      </c>
      <c r="H257" s="11" t="s">
        <v>171</v>
      </c>
      <c r="I257" s="11" t="s">
        <v>46</v>
      </c>
      <c r="J257" s="11" t="s">
        <v>47</v>
      </c>
      <c r="K257" s="11" t="s">
        <v>59</v>
      </c>
      <c r="L257" s="11" t="s">
        <v>74</v>
      </c>
      <c r="M257" s="11" t="s">
        <v>50</v>
      </c>
      <c r="N257" s="11" t="s">
        <v>61</v>
      </c>
      <c r="O257" s="13" t="str">
        <f aca="false">IF(AND(R257&gt;600,Q257&gt;20000),"OBEDECE",IF(AND(R257&gt;300,Q257&gt;=10000,Q257&lt;=20000),"OBEDECE",IF(AND(R257&gt;150,Q257&gt;=5000,Q257&lt;=9999),"OBEDECE",IF(AND(R257&gt;60,Q257&gt;=2000,Q257&lt;=4999),"OBEDECE",IF(AND(R257&gt;30,Q257&gt;=1000,Q257&lt;=1999),"OBEDECE",IF(AND(R257&lt;=29,Q257&lt;=1000),"OBEDECE","NÃO OBEDECE"))))))</f>
        <v>NÃO OBEDECE</v>
      </c>
      <c r="P257" s="3" t="s">
        <v>62</v>
      </c>
      <c r="Q257" s="4" t="n">
        <v>11446</v>
      </c>
      <c r="R257" s="4" t="n">
        <v>61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4" t="n">
        <v>0</v>
      </c>
      <c r="AC257" s="14" t="n">
        <v>0</v>
      </c>
      <c r="AD257" s="14" t="n">
        <v>0</v>
      </c>
      <c r="AE257" s="14" t="n">
        <v>0</v>
      </c>
      <c r="AF257" s="14" t="n">
        <v>0</v>
      </c>
      <c r="AG257" s="14" t="n">
        <v>0</v>
      </c>
      <c r="AH257" s="14" t="n">
        <v>0</v>
      </c>
      <c r="AI257" s="14" t="n">
        <v>0</v>
      </c>
      <c r="AJ257" s="14" t="n">
        <v>0</v>
      </c>
      <c r="AK257" s="14" t="n">
        <v>0</v>
      </c>
      <c r="AL257" s="14" t="n">
        <v>0</v>
      </c>
      <c r="AM257" s="14" t="n">
        <v>0</v>
      </c>
    </row>
    <row r="258" customFormat="false" ht="15" hidden="false" customHeight="false" outlineLevel="0" collapsed="false">
      <c r="A258" s="11" t="s">
        <v>408</v>
      </c>
      <c r="B258" s="11" t="s">
        <v>54</v>
      </c>
      <c r="C258" s="11" t="s">
        <v>41</v>
      </c>
      <c r="D258" s="11" t="s">
        <v>42</v>
      </c>
      <c r="E258" s="11" t="s">
        <v>118</v>
      </c>
      <c r="F258" s="11" t="s">
        <v>57</v>
      </c>
      <c r="G258" s="12" t="s">
        <v>87</v>
      </c>
      <c r="H258" s="11" t="s">
        <v>171</v>
      </c>
      <c r="I258" s="11" t="s">
        <v>46</v>
      </c>
      <c r="J258" s="11" t="s">
        <v>47</v>
      </c>
      <c r="K258" s="11" t="s">
        <v>59</v>
      </c>
      <c r="L258" s="11" t="s">
        <v>74</v>
      </c>
      <c r="M258" s="11" t="s">
        <v>50</v>
      </c>
      <c r="N258" s="11" t="s">
        <v>61</v>
      </c>
      <c r="O258" s="13" t="str">
        <f aca="false">IF(AND(R258&gt;600,Q258&gt;20000),"OBEDECE",IF(AND(R258&gt;300,Q258&gt;=10000,Q258&lt;=20000),"OBEDECE",IF(AND(R258&gt;150,Q258&gt;=5000,Q258&lt;=9999),"OBEDECE",IF(AND(R258&gt;60,Q258&gt;=2000,Q258&lt;=4999),"OBEDECE",IF(AND(R258&gt;30,Q258&gt;=1000,Q258&lt;=1999),"OBEDECE",IF(AND(R258&lt;=29,Q258&lt;=1000),"OBEDECE","NÃO OBEDECE"))))))</f>
        <v>NÃO OBEDECE</v>
      </c>
      <c r="P258" s="3" t="s">
        <v>62</v>
      </c>
      <c r="Q258" s="4" t="n">
        <v>19178</v>
      </c>
      <c r="R258" s="4" t="n">
        <v>8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14" t="n">
        <v>0</v>
      </c>
      <c r="AB258" s="14" t="n">
        <v>0</v>
      </c>
      <c r="AC258" s="14" t="n">
        <v>0</v>
      </c>
      <c r="AD258" s="14" t="n">
        <v>0</v>
      </c>
      <c r="AE258" s="14" t="n">
        <v>0</v>
      </c>
      <c r="AF258" s="14" t="n">
        <v>0</v>
      </c>
      <c r="AG258" s="14" t="n">
        <v>0</v>
      </c>
      <c r="AH258" s="14" t="n">
        <v>0</v>
      </c>
      <c r="AI258" s="14" t="n">
        <v>0</v>
      </c>
      <c r="AJ258" s="14" t="n">
        <v>0</v>
      </c>
      <c r="AK258" s="14" t="n">
        <v>0</v>
      </c>
      <c r="AL258" s="14" t="n">
        <v>0</v>
      </c>
      <c r="AM258" s="14" t="n">
        <v>0</v>
      </c>
    </row>
    <row r="259" customFormat="false" ht="15" hidden="false" customHeight="false" outlineLevel="0" collapsed="false">
      <c r="A259" s="11" t="s">
        <v>409</v>
      </c>
      <c r="B259" s="11" t="s">
        <v>54</v>
      </c>
      <c r="C259" s="11" t="s">
        <v>66</v>
      </c>
      <c r="D259" s="11" t="s">
        <v>42</v>
      </c>
      <c r="E259" s="11" t="s">
        <v>118</v>
      </c>
      <c r="F259" s="11" t="s">
        <v>57</v>
      </c>
      <c r="G259" s="12" t="s">
        <v>410</v>
      </c>
      <c r="H259" s="11" t="s">
        <v>171</v>
      </c>
      <c r="I259" s="11" t="s">
        <v>46</v>
      </c>
      <c r="J259" s="11" t="s">
        <v>47</v>
      </c>
      <c r="K259" s="11" t="s">
        <v>59</v>
      </c>
      <c r="L259" s="11" t="s">
        <v>77</v>
      </c>
      <c r="M259" s="11" t="s">
        <v>60</v>
      </c>
      <c r="N259" s="11" t="s">
        <v>61</v>
      </c>
      <c r="O259" s="13" t="str">
        <f aca="false">IF(AND(R259&gt;600,Q259&gt;20000),"OBEDECE",IF(AND(R259&gt;300,Q259&gt;=10000,Q259&lt;=20000),"OBEDECE",IF(AND(R259&gt;150,Q259&gt;=5000,Q259&lt;=9999),"OBEDECE",IF(AND(R259&gt;60,Q259&gt;=2000,Q259&lt;=4999),"OBEDECE",IF(AND(R259&gt;30,Q259&gt;=1000,Q259&lt;=1999),"OBEDECE",IF(AND(R259&lt;=29,Q259&lt;=1000),"OBEDECE","NÃO OBEDECE"))))))</f>
        <v>NÃO OBEDECE</v>
      </c>
      <c r="P259" s="3" t="s">
        <v>62</v>
      </c>
      <c r="Q259" s="4" t="n">
        <v>19790</v>
      </c>
      <c r="R259" s="4" t="n">
        <v>0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>0</v>
      </c>
      <c r="AB259" s="14" t="n">
        <v>0</v>
      </c>
      <c r="AC259" s="14" t="n">
        <v>0</v>
      </c>
      <c r="AD259" s="14" t="n">
        <v>0</v>
      </c>
      <c r="AE259" s="14" t="n">
        <v>0</v>
      </c>
      <c r="AF259" s="14" t="n">
        <v>0</v>
      </c>
      <c r="AG259" s="14" t="n">
        <v>0</v>
      </c>
      <c r="AH259" s="14" t="n">
        <v>0</v>
      </c>
      <c r="AI259" s="14" t="n">
        <v>0</v>
      </c>
      <c r="AJ259" s="14" t="n">
        <v>0</v>
      </c>
      <c r="AK259" s="14" t="n">
        <v>0</v>
      </c>
      <c r="AL259" s="14" t="n">
        <v>0</v>
      </c>
      <c r="AM259" s="14" t="n">
        <v>0</v>
      </c>
    </row>
    <row r="260" customFormat="false" ht="15" hidden="false" customHeight="false" outlineLevel="0" collapsed="false">
      <c r="A260" s="11" t="s">
        <v>411</v>
      </c>
      <c r="B260" s="11" t="s">
        <v>54</v>
      </c>
      <c r="C260" s="11" t="s">
        <v>66</v>
      </c>
      <c r="D260" s="11" t="s">
        <v>55</v>
      </c>
      <c r="E260" s="11" t="s">
        <v>118</v>
      </c>
      <c r="F260" s="11" t="s">
        <v>57</v>
      </c>
      <c r="G260" s="12" t="s">
        <v>67</v>
      </c>
      <c r="H260" s="11" t="s">
        <v>171</v>
      </c>
      <c r="I260" s="11" t="s">
        <v>46</v>
      </c>
      <c r="J260" s="11" t="s">
        <v>47</v>
      </c>
      <c r="K260" s="11" t="s">
        <v>59</v>
      </c>
      <c r="L260" s="11" t="s">
        <v>77</v>
      </c>
      <c r="M260" s="11" t="s">
        <v>60</v>
      </c>
      <c r="N260" s="11" t="s">
        <v>51</v>
      </c>
      <c r="O260" s="13" t="str">
        <f aca="false">IF(AND(R260&gt;600,Q260&gt;20000),"OBEDECE",IF(AND(R260&gt;300,Q260&gt;=10000,Q260&lt;=20000),"OBEDECE",IF(AND(R260&gt;150,Q260&gt;=5000,Q260&lt;=9999),"OBEDECE",IF(AND(R260&gt;60,Q260&gt;=2000,Q260&lt;=4999),"OBEDECE",IF(AND(R260&gt;30,Q260&gt;=1000,Q260&lt;=1999),"OBEDECE",IF(AND(R260&lt;=29,Q260&lt;=1000),"OBEDECE","NÃO OBEDECE"))))))</f>
        <v>NÃO OBEDECE</v>
      </c>
      <c r="P260" s="3" t="s">
        <v>68</v>
      </c>
      <c r="Q260" s="4" t="n">
        <v>29576</v>
      </c>
      <c r="R260" s="4" t="n">
        <v>0</v>
      </c>
      <c r="S260" s="14" t="n">
        <v>0</v>
      </c>
      <c r="T260" s="14" t="n">
        <v>0</v>
      </c>
      <c r="U260" s="14" t="n">
        <v>0</v>
      </c>
      <c r="V260" s="14" t="n">
        <v>1</v>
      </c>
      <c r="W260" s="14" t="n">
        <v>0</v>
      </c>
      <c r="X260" s="14" t="n">
        <v>0</v>
      </c>
      <c r="Y260" s="14" t="n">
        <v>0</v>
      </c>
      <c r="Z260" s="14" t="n">
        <v>0</v>
      </c>
      <c r="AA260" s="14" t="n">
        <v>0</v>
      </c>
      <c r="AB260" s="14" t="n">
        <v>0</v>
      </c>
      <c r="AC260" s="14" t="n">
        <v>0</v>
      </c>
      <c r="AD260" s="14" t="n">
        <v>0</v>
      </c>
      <c r="AE260" s="14" t="n">
        <v>0</v>
      </c>
      <c r="AF260" s="14" t="n">
        <v>0</v>
      </c>
      <c r="AG260" s="14" t="n">
        <v>0</v>
      </c>
      <c r="AH260" s="14" t="n">
        <v>0</v>
      </c>
      <c r="AI260" s="14" t="n">
        <v>0</v>
      </c>
      <c r="AJ260" s="14" t="n">
        <v>0</v>
      </c>
      <c r="AK260" s="14" t="n">
        <v>0</v>
      </c>
      <c r="AL260" s="14" t="n">
        <v>0</v>
      </c>
      <c r="AM260" s="14" t="n">
        <v>0</v>
      </c>
    </row>
    <row r="261" customFormat="false" ht="15" hidden="false" customHeight="false" outlineLevel="0" collapsed="false">
      <c r="A261" s="11" t="s">
        <v>412</v>
      </c>
      <c r="B261" s="11" t="s">
        <v>54</v>
      </c>
      <c r="C261" s="11" t="s">
        <v>41</v>
      </c>
      <c r="D261" s="11" t="s">
        <v>55</v>
      </c>
      <c r="E261" s="11" t="s">
        <v>118</v>
      </c>
      <c r="F261" s="11" t="s">
        <v>57</v>
      </c>
      <c r="G261" s="15" t="s">
        <v>95</v>
      </c>
      <c r="H261" s="11" t="s">
        <v>171</v>
      </c>
      <c r="I261" s="11" t="s">
        <v>46</v>
      </c>
      <c r="J261" s="11" t="s">
        <v>47</v>
      </c>
      <c r="K261" s="11" t="s">
        <v>59</v>
      </c>
      <c r="L261" s="11" t="s">
        <v>77</v>
      </c>
      <c r="M261" s="11" t="s">
        <v>60</v>
      </c>
      <c r="N261" s="11" t="s">
        <v>51</v>
      </c>
      <c r="O261" s="13" t="str">
        <f aca="false">IF(AND(R261&gt;600,Q261&gt;20000),"OBEDECE",IF(AND(R261&gt;300,Q261&gt;=10000,Q261&lt;=20000),"OBEDECE",IF(AND(R261&gt;150,Q261&gt;=5000,Q261&lt;=9999),"OBEDECE",IF(AND(R261&gt;60,Q261&gt;=2000,Q261&lt;=4999),"OBEDECE",IF(AND(R261&gt;30,Q261&gt;=1000,Q261&lt;=1999),"OBEDECE",IF(AND(R261&lt;=29,Q261&lt;=1000),"OBEDECE","NÃO OBEDECE"))))))</f>
        <v>NÃO OBEDECE</v>
      </c>
      <c r="P261" s="3" t="s">
        <v>62</v>
      </c>
      <c r="Q261" s="4" t="n">
        <v>29228</v>
      </c>
      <c r="R261" s="4" t="n">
        <v>119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>0</v>
      </c>
      <c r="AB261" s="14" t="n">
        <v>0</v>
      </c>
      <c r="AC261" s="14" t="n">
        <v>0</v>
      </c>
      <c r="AD261" s="14" t="n">
        <v>0</v>
      </c>
      <c r="AE261" s="14" t="n">
        <v>0</v>
      </c>
      <c r="AF261" s="14" t="n">
        <v>0</v>
      </c>
      <c r="AG261" s="14" t="n">
        <v>0</v>
      </c>
      <c r="AH261" s="14" t="n">
        <v>0</v>
      </c>
      <c r="AI261" s="14" t="n">
        <v>0</v>
      </c>
      <c r="AJ261" s="14" t="n">
        <v>0</v>
      </c>
      <c r="AK261" s="14" t="n">
        <v>0</v>
      </c>
      <c r="AL261" s="14" t="n">
        <v>0</v>
      </c>
      <c r="AM261" s="14" t="n">
        <v>0</v>
      </c>
    </row>
    <row r="262" customFormat="false" ht="15" hidden="false" customHeight="false" outlineLevel="0" collapsed="false">
      <c r="A262" s="11" t="s">
        <v>413</v>
      </c>
      <c r="B262" s="11" t="s">
        <v>40</v>
      </c>
      <c r="C262" s="11" t="s">
        <v>41</v>
      </c>
      <c r="D262" s="11" t="s">
        <v>42</v>
      </c>
      <c r="E262" s="11" t="s">
        <v>118</v>
      </c>
      <c r="F262" s="11" t="s">
        <v>57</v>
      </c>
      <c r="G262" s="12" t="s">
        <v>282</v>
      </c>
      <c r="H262" s="11" t="s">
        <v>171</v>
      </c>
      <c r="I262" s="11" t="s">
        <v>46</v>
      </c>
      <c r="J262" s="11" t="s">
        <v>47</v>
      </c>
      <c r="K262" s="11" t="s">
        <v>59</v>
      </c>
      <c r="L262" s="11" t="s">
        <v>77</v>
      </c>
      <c r="M262" s="11" t="s">
        <v>50</v>
      </c>
      <c r="N262" s="11" t="s">
        <v>51</v>
      </c>
      <c r="O262" s="13" t="str">
        <f aca="false">IF(AND(R262&gt;600,Q262&gt;20000),"OBEDECE",IF(AND(R262&gt;300,Q262&gt;=10000,Q262&lt;=20000),"OBEDECE",IF(AND(R262&gt;150,Q262&gt;=5000,Q262&lt;=9999),"OBEDECE",IF(AND(R262&gt;60,Q262&gt;=2000,Q262&lt;=4999),"OBEDECE",IF(AND(R262&gt;30,Q262&gt;=1000,Q262&lt;=1999),"OBEDECE",IF(AND(R262&lt;=29,Q262&lt;=1000),"OBEDECE","NÃO OBEDECE"))))))</f>
        <v>NÃO OBEDECE</v>
      </c>
      <c r="P262" s="3" t="s">
        <v>68</v>
      </c>
      <c r="Q262" s="4" t="n">
        <v>26048</v>
      </c>
      <c r="R262" s="4" t="n">
        <v>112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1</v>
      </c>
      <c r="Y262" s="14" t="n">
        <v>2</v>
      </c>
      <c r="Z262" s="14" t="n">
        <v>1</v>
      </c>
      <c r="AA262" s="14" t="n">
        <v>0</v>
      </c>
      <c r="AB262" s="14" t="n">
        <v>0</v>
      </c>
      <c r="AC262" s="14" t="n">
        <v>0</v>
      </c>
      <c r="AD262" s="14" t="n">
        <v>0</v>
      </c>
      <c r="AE262" s="14" t="n">
        <v>0</v>
      </c>
      <c r="AF262" s="14" t="n">
        <v>0</v>
      </c>
      <c r="AG262" s="14" t="n">
        <v>0</v>
      </c>
      <c r="AH262" s="14" t="n">
        <v>0</v>
      </c>
      <c r="AI262" s="14" t="n">
        <v>0</v>
      </c>
      <c r="AJ262" s="14" t="n">
        <v>0</v>
      </c>
      <c r="AK262" s="14" t="n">
        <v>0</v>
      </c>
      <c r="AL262" s="14" t="n">
        <v>0</v>
      </c>
      <c r="AM262" s="14" t="n">
        <v>0</v>
      </c>
    </row>
    <row r="263" customFormat="false" ht="15" hidden="false" customHeight="false" outlineLevel="0" collapsed="false">
      <c r="A263" s="11" t="s">
        <v>414</v>
      </c>
      <c r="B263" s="11" t="s">
        <v>54</v>
      </c>
      <c r="C263" s="11" t="s">
        <v>66</v>
      </c>
      <c r="D263" s="11" t="s">
        <v>55</v>
      </c>
      <c r="E263" s="11" t="s">
        <v>118</v>
      </c>
      <c r="F263" s="11" t="s">
        <v>57</v>
      </c>
      <c r="G263" s="12" t="s">
        <v>415</v>
      </c>
      <c r="H263" s="11" t="s">
        <v>171</v>
      </c>
      <c r="I263" s="11" t="s">
        <v>46</v>
      </c>
      <c r="J263" s="11" t="s">
        <v>47</v>
      </c>
      <c r="K263" s="11" t="s">
        <v>48</v>
      </c>
      <c r="L263" s="11" t="s">
        <v>74</v>
      </c>
      <c r="M263" s="11" t="s">
        <v>60</v>
      </c>
      <c r="N263" s="11" t="s">
        <v>213</v>
      </c>
      <c r="O263" s="13" t="str">
        <f aca="false">IF(AND(R263&gt;600,Q263&gt;20000),"OBEDECE",IF(AND(R263&gt;300,Q263&gt;=10000,Q263&lt;=20000),"OBEDECE",IF(AND(R263&gt;150,Q263&gt;=5000,Q263&lt;=9999),"OBEDECE",IF(AND(R263&gt;60,Q263&gt;=2000,Q263&lt;=4999),"OBEDECE",IF(AND(R263&gt;30,Q263&gt;=1000,Q263&lt;=1999),"OBEDECE",IF(AND(R263&lt;=29,Q263&lt;=1000),"OBEDECE","NÃO OBEDECE"))))))</f>
        <v>NÃO OBEDECE</v>
      </c>
      <c r="P263" s="3" t="s">
        <v>62</v>
      </c>
      <c r="Q263" s="4" t="n">
        <v>973</v>
      </c>
      <c r="R263" s="4" t="n">
        <v>65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14" t="n">
        <v>0</v>
      </c>
      <c r="AB263" s="14" t="n">
        <v>0</v>
      </c>
      <c r="AC263" s="14" t="n">
        <v>0</v>
      </c>
      <c r="AD263" s="14" t="n">
        <v>0</v>
      </c>
      <c r="AE263" s="14" t="n">
        <v>0</v>
      </c>
      <c r="AF263" s="14" t="n">
        <v>0</v>
      </c>
      <c r="AG263" s="14" t="n">
        <v>0</v>
      </c>
      <c r="AH263" s="14" t="n">
        <v>0</v>
      </c>
      <c r="AI263" s="14" t="n">
        <v>0</v>
      </c>
      <c r="AJ263" s="14" t="n">
        <v>0</v>
      </c>
      <c r="AK263" s="14" t="n">
        <v>0</v>
      </c>
      <c r="AL263" s="14" t="n">
        <v>0</v>
      </c>
      <c r="AM263" s="14" t="n">
        <v>0</v>
      </c>
    </row>
    <row r="264" customFormat="false" ht="15" hidden="false" customHeight="false" outlineLevel="0" collapsed="false">
      <c r="A264" s="10" t="s">
        <v>416</v>
      </c>
      <c r="B264" s="11" t="s">
        <v>54</v>
      </c>
      <c r="C264" s="11" t="s">
        <v>41</v>
      </c>
      <c r="D264" s="11" t="s">
        <v>55</v>
      </c>
      <c r="E264" s="11" t="s">
        <v>43</v>
      </c>
      <c r="F264" s="11" t="s">
        <v>44</v>
      </c>
      <c r="G264" s="12" t="s">
        <v>45</v>
      </c>
      <c r="H264" s="11" t="s">
        <v>171</v>
      </c>
      <c r="I264" s="11" t="s">
        <v>47</v>
      </c>
      <c r="J264" s="11" t="s">
        <v>171</v>
      </c>
      <c r="K264" s="11" t="s">
        <v>48</v>
      </c>
      <c r="L264" s="11" t="s">
        <v>74</v>
      </c>
      <c r="M264" s="11" t="s">
        <v>60</v>
      </c>
      <c r="N264" s="11" t="s">
        <v>130</v>
      </c>
      <c r="O264" s="13" t="str">
        <f aca="false">IF(AND(R264&gt;600,Q264&gt;20000),"OBEDECE",IF(AND(R264&gt;300,Q264&gt;=10000,Q264&lt;=20000),"OBEDECE",IF(AND(R264&gt;150,Q264&gt;=5000,Q264&lt;=9999),"OBEDECE",IF(AND(R264&gt;60,Q264&gt;=2000,Q264&lt;=4999),"OBEDECE",IF(AND(R264&gt;30,Q264&gt;=1000,Q264&lt;=1999),"OBEDECE",IF(AND(R264&lt;=29,Q264&lt;=1000),"OBEDECE","NÃO OBEDECE"))))))</f>
        <v>OBEDECE</v>
      </c>
      <c r="P264" s="3" t="s">
        <v>62</v>
      </c>
      <c r="Q264" s="4" t="n">
        <v>1500</v>
      </c>
      <c r="R264" s="4" t="n">
        <v>87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14" t="n">
        <v>0</v>
      </c>
      <c r="AB264" s="14" t="n">
        <v>0</v>
      </c>
      <c r="AC264" s="14" t="n">
        <v>0</v>
      </c>
      <c r="AD264" s="14" t="n">
        <v>0</v>
      </c>
      <c r="AE264" s="14" t="n">
        <v>0</v>
      </c>
      <c r="AF264" s="14" t="n">
        <v>0</v>
      </c>
      <c r="AG264" s="14" t="n">
        <v>0</v>
      </c>
      <c r="AH264" s="14" t="n">
        <v>0</v>
      </c>
      <c r="AI264" s="14" t="n">
        <v>0</v>
      </c>
      <c r="AJ264" s="14" t="n">
        <v>0</v>
      </c>
      <c r="AK264" s="14" t="n">
        <v>0</v>
      </c>
      <c r="AL264" s="14" t="n">
        <v>0</v>
      </c>
      <c r="AM264" s="14" t="n">
        <v>0</v>
      </c>
    </row>
    <row r="265" customFormat="false" ht="15" hidden="false" customHeight="false" outlineLevel="0" collapsed="false">
      <c r="A265" s="11" t="s">
        <v>417</v>
      </c>
      <c r="B265" s="11" t="s">
        <v>54</v>
      </c>
      <c r="C265" s="11" t="s">
        <v>41</v>
      </c>
      <c r="D265" s="11" t="s">
        <v>55</v>
      </c>
      <c r="E265" s="11" t="s">
        <v>118</v>
      </c>
      <c r="F265" s="11" t="s">
        <v>57</v>
      </c>
      <c r="G265" s="12" t="s">
        <v>418</v>
      </c>
      <c r="H265" s="11" t="s">
        <v>171</v>
      </c>
      <c r="I265" s="11" t="s">
        <v>46</v>
      </c>
      <c r="J265" s="11" t="s">
        <v>47</v>
      </c>
      <c r="K265" s="11" t="s">
        <v>48</v>
      </c>
      <c r="L265" s="11" t="s">
        <v>74</v>
      </c>
      <c r="M265" s="11" t="s">
        <v>60</v>
      </c>
      <c r="N265" s="11" t="s">
        <v>130</v>
      </c>
      <c r="O265" s="13" t="str">
        <f aca="false">IF(AND(R265&gt;600,Q265&gt;20000),"OBEDECE",IF(AND(R265&gt;300,Q265&gt;=10000,Q265&lt;=20000),"OBEDECE",IF(AND(R265&gt;150,Q265&gt;=5000,Q265&lt;=9999),"OBEDECE",IF(AND(R265&gt;60,Q265&gt;=2000,Q265&lt;=4999),"OBEDECE",IF(AND(R265&gt;30,Q265&gt;=1000,Q265&lt;=1999),"OBEDECE",IF(AND(R265&lt;=29,Q265&lt;=1000),"OBEDECE","NÃO OBEDECE"))))))</f>
        <v>OBEDECE</v>
      </c>
      <c r="P265" s="3" t="s">
        <v>62</v>
      </c>
      <c r="Q265" s="4" t="n">
        <v>1010</v>
      </c>
      <c r="R265" s="4" t="n">
        <v>61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14" t="n">
        <v>0</v>
      </c>
      <c r="AB265" s="14" t="n">
        <v>0</v>
      </c>
      <c r="AC265" s="14" t="n">
        <v>0</v>
      </c>
      <c r="AD265" s="14" t="n">
        <v>0</v>
      </c>
      <c r="AE265" s="14" t="n">
        <v>0</v>
      </c>
      <c r="AF265" s="14" t="n">
        <v>0</v>
      </c>
      <c r="AG265" s="14" t="n">
        <v>0</v>
      </c>
      <c r="AH265" s="14" t="n">
        <v>0</v>
      </c>
      <c r="AI265" s="14" t="n">
        <v>0</v>
      </c>
      <c r="AJ265" s="14" t="n">
        <v>0</v>
      </c>
      <c r="AK265" s="14" t="n">
        <v>0</v>
      </c>
      <c r="AL265" s="14" t="n">
        <v>0</v>
      </c>
      <c r="AM265" s="14" t="n">
        <v>0</v>
      </c>
    </row>
    <row r="266" customFormat="false" ht="15" hidden="false" customHeight="false" outlineLevel="0" collapsed="false">
      <c r="A266" s="11" t="s">
        <v>419</v>
      </c>
      <c r="B266" s="11" t="s">
        <v>54</v>
      </c>
      <c r="C266" s="11" t="s">
        <v>41</v>
      </c>
      <c r="D266" s="11" t="s">
        <v>42</v>
      </c>
      <c r="E266" s="11" t="s">
        <v>118</v>
      </c>
      <c r="F266" s="11" t="s">
        <v>57</v>
      </c>
      <c r="G266" s="12" t="s">
        <v>278</v>
      </c>
      <c r="H266" s="11" t="s">
        <v>171</v>
      </c>
      <c r="I266" s="11" t="s">
        <v>46</v>
      </c>
      <c r="J266" s="11" t="s">
        <v>47</v>
      </c>
      <c r="K266" s="11" t="s">
        <v>48</v>
      </c>
      <c r="L266" s="11" t="s">
        <v>74</v>
      </c>
      <c r="M266" s="11" t="s">
        <v>60</v>
      </c>
      <c r="N266" s="11" t="s">
        <v>130</v>
      </c>
      <c r="O266" s="13" t="str">
        <f aca="false">IF(AND(R266&gt;600,Q266&gt;20000),"OBEDECE",IF(AND(R266&gt;300,Q266&gt;=10000,Q266&lt;=20000),"OBEDECE",IF(AND(R266&gt;150,Q266&gt;=5000,Q266&lt;=9999),"OBEDECE",IF(AND(R266&gt;60,Q266&gt;=2000,Q266&lt;=4999),"OBEDECE",IF(AND(R266&gt;30,Q266&gt;=1000,Q266&lt;=1999),"OBEDECE",IF(AND(R266&lt;=29,Q266&lt;=1000),"OBEDECE","NÃO OBEDECE"))))))</f>
        <v>OBEDECE</v>
      </c>
      <c r="P266" s="3" t="s">
        <v>62</v>
      </c>
      <c r="Q266" s="4" t="n">
        <v>1085</v>
      </c>
      <c r="R266" s="4" t="n">
        <v>60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14" t="n">
        <v>0</v>
      </c>
      <c r="AB266" s="14" t="n">
        <v>0</v>
      </c>
      <c r="AC266" s="14" t="n">
        <v>0</v>
      </c>
      <c r="AD266" s="14" t="n">
        <v>0</v>
      </c>
      <c r="AE266" s="14" t="n">
        <v>0</v>
      </c>
      <c r="AF266" s="14" t="n">
        <v>0</v>
      </c>
      <c r="AG266" s="14" t="n">
        <v>0</v>
      </c>
      <c r="AH266" s="14" t="n">
        <v>0</v>
      </c>
      <c r="AI266" s="14" t="n">
        <v>0</v>
      </c>
      <c r="AJ266" s="14" t="n">
        <v>0</v>
      </c>
      <c r="AK266" s="14" t="n">
        <v>0</v>
      </c>
      <c r="AL266" s="14" t="n">
        <v>0</v>
      </c>
      <c r="AM266" s="14" t="n">
        <v>0</v>
      </c>
    </row>
    <row r="267" customFormat="false" ht="15" hidden="false" customHeight="false" outlineLevel="0" collapsed="false">
      <c r="A267" s="11" t="s">
        <v>420</v>
      </c>
      <c r="B267" s="11" t="s">
        <v>54</v>
      </c>
      <c r="C267" s="11" t="s">
        <v>66</v>
      </c>
      <c r="D267" s="11" t="s">
        <v>55</v>
      </c>
      <c r="E267" s="11" t="s">
        <v>118</v>
      </c>
      <c r="F267" s="11" t="s">
        <v>57</v>
      </c>
      <c r="G267" s="15" t="s">
        <v>164</v>
      </c>
      <c r="H267" s="11" t="s">
        <v>171</v>
      </c>
      <c r="I267" s="11" t="s">
        <v>46</v>
      </c>
      <c r="J267" s="11" t="s">
        <v>47</v>
      </c>
      <c r="K267" s="11" t="s">
        <v>48</v>
      </c>
      <c r="L267" s="11" t="s">
        <v>74</v>
      </c>
      <c r="M267" s="11" t="s">
        <v>60</v>
      </c>
      <c r="N267" s="11" t="s">
        <v>130</v>
      </c>
      <c r="O267" s="13" t="str">
        <f aca="false">IF(AND(R267&gt;600,Q267&gt;20000),"OBEDECE",IF(AND(R267&gt;300,Q267&gt;=10000,Q267&lt;=20000),"OBEDECE",IF(AND(R267&gt;150,Q267&gt;=5000,Q267&lt;=9999),"OBEDECE",IF(AND(R267&gt;60,Q267&gt;=2000,Q267&lt;=4999),"OBEDECE",IF(AND(R267&gt;30,Q267&gt;=1000,Q267&lt;=1999),"OBEDECE",IF(AND(R267&lt;=29,Q267&lt;=1000),"OBEDECE","NÃO OBEDECE"))))))</f>
        <v>OBEDECE</v>
      </c>
      <c r="P267" s="3" t="s">
        <v>62</v>
      </c>
      <c r="Q267" s="4" t="n">
        <v>1349</v>
      </c>
      <c r="R267" s="4" t="n">
        <v>53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  <c r="AE267" s="14" t="n">
        <v>0</v>
      </c>
      <c r="AF267" s="14" t="n">
        <v>0</v>
      </c>
      <c r="AG267" s="14" t="n">
        <v>0</v>
      </c>
      <c r="AH267" s="14" t="n">
        <v>0</v>
      </c>
      <c r="AI267" s="14" t="n">
        <v>0</v>
      </c>
      <c r="AJ267" s="14" t="n">
        <v>0</v>
      </c>
      <c r="AK267" s="14" t="n">
        <v>0</v>
      </c>
      <c r="AL267" s="14" t="n">
        <v>0</v>
      </c>
      <c r="AM267" s="14" t="n">
        <v>0</v>
      </c>
    </row>
    <row r="268" customFormat="false" ht="15" hidden="false" customHeight="false" outlineLevel="0" collapsed="false">
      <c r="A268" s="11" t="s">
        <v>421</v>
      </c>
      <c r="B268" s="11" t="s">
        <v>54</v>
      </c>
      <c r="C268" s="11" t="s">
        <v>66</v>
      </c>
      <c r="D268" s="11" t="s">
        <v>55</v>
      </c>
      <c r="E268" s="11" t="s">
        <v>118</v>
      </c>
      <c r="F268" s="11" t="s">
        <v>57</v>
      </c>
      <c r="G268" s="15" t="s">
        <v>259</v>
      </c>
      <c r="H268" s="11" t="s">
        <v>171</v>
      </c>
      <c r="I268" s="11" t="s">
        <v>46</v>
      </c>
      <c r="J268" s="11" t="s">
        <v>47</v>
      </c>
      <c r="K268" s="11" t="s">
        <v>48</v>
      </c>
      <c r="L268" s="11" t="s">
        <v>74</v>
      </c>
      <c r="M268" s="11" t="s">
        <v>60</v>
      </c>
      <c r="N268" s="11" t="s">
        <v>130</v>
      </c>
      <c r="O268" s="13" t="str">
        <f aca="false">IF(AND(R268&gt;600,Q268&gt;20000),"OBEDECE",IF(AND(R268&gt;300,Q268&gt;=10000,Q268&lt;=20000),"OBEDECE",IF(AND(R268&gt;150,Q268&gt;=5000,Q268&lt;=9999),"OBEDECE",IF(AND(R268&gt;60,Q268&gt;=2000,Q268&lt;=4999),"OBEDECE",IF(AND(R268&gt;30,Q268&gt;=1000,Q268&lt;=1999),"OBEDECE",IF(AND(R268&lt;=29,Q268&lt;=1000),"OBEDECE","NÃO OBEDECE"))))))</f>
        <v>OBEDECE</v>
      </c>
      <c r="P268" s="3" t="s">
        <v>62</v>
      </c>
      <c r="Q268" s="4" t="n">
        <v>1203</v>
      </c>
      <c r="R268" s="4" t="n">
        <v>67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14" t="n">
        <v>0</v>
      </c>
      <c r="AB268" s="14" t="n">
        <v>0</v>
      </c>
      <c r="AC268" s="14" t="n">
        <v>0</v>
      </c>
      <c r="AD268" s="14" t="n">
        <v>0</v>
      </c>
      <c r="AE268" s="14" t="n">
        <v>0</v>
      </c>
      <c r="AF268" s="14" t="n">
        <v>0</v>
      </c>
      <c r="AG268" s="14" t="n">
        <v>0</v>
      </c>
      <c r="AH268" s="14" t="n">
        <v>0</v>
      </c>
      <c r="AI268" s="14" t="n">
        <v>0</v>
      </c>
      <c r="AJ268" s="14" t="n">
        <v>0</v>
      </c>
      <c r="AK268" s="14" t="n">
        <v>0</v>
      </c>
      <c r="AL268" s="14" t="n">
        <v>0</v>
      </c>
      <c r="AM268" s="14" t="n">
        <v>0</v>
      </c>
    </row>
    <row r="269" customFormat="false" ht="15" hidden="false" customHeight="false" outlineLevel="0" collapsed="false">
      <c r="A269" s="11" t="s">
        <v>422</v>
      </c>
      <c r="B269" s="11" t="s">
        <v>54</v>
      </c>
      <c r="C269" s="11" t="s">
        <v>41</v>
      </c>
      <c r="D269" s="11" t="s">
        <v>42</v>
      </c>
      <c r="E269" s="11" t="s">
        <v>118</v>
      </c>
      <c r="F269" s="11" t="s">
        <v>57</v>
      </c>
      <c r="G269" s="12" t="s">
        <v>76</v>
      </c>
      <c r="H269" s="11" t="s">
        <v>171</v>
      </c>
      <c r="I269" s="11" t="s">
        <v>46</v>
      </c>
      <c r="J269" s="11" t="s">
        <v>47</v>
      </c>
      <c r="K269" s="11" t="s">
        <v>48</v>
      </c>
      <c r="L269" s="11" t="s">
        <v>74</v>
      </c>
      <c r="M269" s="11" t="s">
        <v>50</v>
      </c>
      <c r="N269" s="11" t="s">
        <v>123</v>
      </c>
      <c r="O269" s="13" t="str">
        <f aca="false">IF(AND(R269&gt;600,Q269&gt;20000),"OBEDECE",IF(AND(R269&gt;300,Q269&gt;=10000,Q269&lt;=20000),"OBEDECE",IF(AND(R269&gt;150,Q269&gt;=5000,Q269&lt;=9999),"OBEDECE",IF(AND(R269&gt;60,Q269&gt;=2000,Q269&lt;=4999),"OBEDECE",IF(AND(R269&gt;30,Q269&gt;=1000,Q269&lt;=1999),"OBEDECE",IF(AND(R269&lt;=29,Q269&lt;=1000),"OBEDECE","NÃO OBEDECE"))))))</f>
        <v>OBEDECE</v>
      </c>
      <c r="P269" s="3" t="s">
        <v>62</v>
      </c>
      <c r="Q269" s="4" t="n">
        <v>3493</v>
      </c>
      <c r="R269" s="4" t="n">
        <v>123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>0</v>
      </c>
      <c r="AB269" s="14" t="n">
        <v>0</v>
      </c>
      <c r="AC269" s="14" t="n">
        <v>0</v>
      </c>
      <c r="AD269" s="14" t="n">
        <v>0</v>
      </c>
      <c r="AE269" s="14" t="n">
        <v>0</v>
      </c>
      <c r="AF269" s="14" t="n">
        <v>0</v>
      </c>
      <c r="AG269" s="14" t="n">
        <v>0</v>
      </c>
      <c r="AH269" s="14" t="n">
        <v>0</v>
      </c>
      <c r="AI269" s="14" t="n">
        <v>0</v>
      </c>
      <c r="AJ269" s="14" t="n">
        <v>0</v>
      </c>
      <c r="AK269" s="14" t="n">
        <v>0</v>
      </c>
      <c r="AL269" s="14" t="n">
        <v>0</v>
      </c>
      <c r="AM269" s="14" t="n">
        <v>0</v>
      </c>
    </row>
    <row r="270" customFormat="false" ht="15" hidden="false" customHeight="false" outlineLevel="0" collapsed="false">
      <c r="A270" s="11" t="s">
        <v>423</v>
      </c>
      <c r="B270" s="11" t="s">
        <v>54</v>
      </c>
      <c r="C270" s="11" t="s">
        <v>41</v>
      </c>
      <c r="D270" s="11" t="s">
        <v>42</v>
      </c>
      <c r="E270" s="11" t="s">
        <v>118</v>
      </c>
      <c r="F270" s="11" t="s">
        <v>57</v>
      </c>
      <c r="G270" s="12" t="s">
        <v>175</v>
      </c>
      <c r="H270" s="11" t="s">
        <v>171</v>
      </c>
      <c r="I270" s="11" t="s">
        <v>46</v>
      </c>
      <c r="J270" s="11" t="s">
        <v>47</v>
      </c>
      <c r="K270" s="11" t="s">
        <v>48</v>
      </c>
      <c r="L270" s="11" t="s">
        <v>74</v>
      </c>
      <c r="M270" s="11" t="s">
        <v>60</v>
      </c>
      <c r="N270" s="11" t="s">
        <v>123</v>
      </c>
      <c r="O270" s="13" t="str">
        <f aca="false">IF(AND(R270&gt;600,Q270&gt;20000),"OBEDECE",IF(AND(R270&gt;300,Q270&gt;=10000,Q270&lt;=20000),"OBEDECE",IF(AND(R270&gt;150,Q270&gt;=5000,Q270&lt;=9999),"OBEDECE",IF(AND(R270&gt;60,Q270&gt;=2000,Q270&lt;=4999),"OBEDECE",IF(AND(R270&gt;30,Q270&gt;=1000,Q270&lt;=1999),"OBEDECE",IF(AND(R270&lt;=29,Q270&lt;=1000),"OBEDECE","NÃO OBEDECE"))))))</f>
        <v>OBEDECE</v>
      </c>
      <c r="P270" s="3" t="s">
        <v>62</v>
      </c>
      <c r="Q270" s="4" t="n">
        <v>3715</v>
      </c>
      <c r="R270" s="4" t="n">
        <v>83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14" t="n">
        <v>0</v>
      </c>
      <c r="AB270" s="14" t="n">
        <v>0</v>
      </c>
      <c r="AC270" s="14" t="n">
        <v>0</v>
      </c>
      <c r="AD270" s="14" t="n">
        <v>0</v>
      </c>
      <c r="AE270" s="14" t="n">
        <v>0</v>
      </c>
      <c r="AF270" s="14" t="n">
        <v>0</v>
      </c>
      <c r="AG270" s="14" t="n">
        <v>0</v>
      </c>
      <c r="AH270" s="14" t="n">
        <v>0</v>
      </c>
      <c r="AI270" s="14" t="n">
        <v>0</v>
      </c>
      <c r="AJ270" s="14" t="n">
        <v>0</v>
      </c>
      <c r="AK270" s="14" t="n">
        <v>0</v>
      </c>
      <c r="AL270" s="14" t="n">
        <v>0</v>
      </c>
      <c r="AM270" s="14" t="n">
        <v>0</v>
      </c>
    </row>
    <row r="271" customFormat="false" ht="15" hidden="false" customHeight="false" outlineLevel="0" collapsed="false">
      <c r="A271" s="11" t="s">
        <v>424</v>
      </c>
      <c r="B271" s="11" t="s">
        <v>54</v>
      </c>
      <c r="C271" s="11" t="s">
        <v>66</v>
      </c>
      <c r="D271" s="11" t="s">
        <v>55</v>
      </c>
      <c r="E271" s="11" t="s">
        <v>118</v>
      </c>
      <c r="F271" s="11" t="s">
        <v>57</v>
      </c>
      <c r="G271" s="15" t="s">
        <v>232</v>
      </c>
      <c r="H271" s="11" t="s">
        <v>171</v>
      </c>
      <c r="I271" s="11" t="s">
        <v>46</v>
      </c>
      <c r="J271" s="11" t="s">
        <v>47</v>
      </c>
      <c r="K271" s="11" t="s">
        <v>48</v>
      </c>
      <c r="L271" s="11" t="s">
        <v>74</v>
      </c>
      <c r="M271" s="11" t="s">
        <v>60</v>
      </c>
      <c r="N271" s="11" t="s">
        <v>123</v>
      </c>
      <c r="O271" s="13" t="str">
        <f aca="false">IF(AND(R271&gt;600,Q271&gt;20000),"OBEDECE",IF(AND(R271&gt;300,Q271&gt;=10000,Q271&lt;=20000),"OBEDECE",IF(AND(R271&gt;150,Q271&gt;=5000,Q271&lt;=9999),"OBEDECE",IF(AND(R271&gt;60,Q271&gt;=2000,Q271&lt;=4999),"OBEDECE",IF(AND(R271&gt;30,Q271&gt;=1000,Q271&lt;=1999),"OBEDECE",IF(AND(R271&lt;=29,Q271&lt;=1000),"OBEDECE","NÃO OBEDECE"))))))</f>
        <v>OBEDECE</v>
      </c>
      <c r="P271" s="3" t="s">
        <v>62</v>
      </c>
      <c r="Q271" s="4" t="n">
        <v>4037</v>
      </c>
      <c r="R271" s="4" t="n">
        <v>65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>0</v>
      </c>
      <c r="AB271" s="14" t="n">
        <v>0</v>
      </c>
      <c r="AC271" s="14" t="n">
        <v>0</v>
      </c>
      <c r="AD271" s="14" t="n">
        <v>0</v>
      </c>
      <c r="AE271" s="14" t="n">
        <v>0</v>
      </c>
      <c r="AF271" s="14" t="n">
        <v>0</v>
      </c>
      <c r="AG271" s="14" t="n">
        <v>0</v>
      </c>
      <c r="AH271" s="14" t="n">
        <v>0</v>
      </c>
      <c r="AI271" s="14" t="n">
        <v>0</v>
      </c>
      <c r="AJ271" s="14" t="n">
        <v>0</v>
      </c>
      <c r="AK271" s="14" t="n">
        <v>0</v>
      </c>
      <c r="AL271" s="14" t="n">
        <v>0</v>
      </c>
      <c r="AM271" s="14" t="n">
        <v>0</v>
      </c>
    </row>
    <row r="272" customFormat="false" ht="15" hidden="false" customHeight="false" outlineLevel="0" collapsed="false">
      <c r="A272" s="11" t="s">
        <v>425</v>
      </c>
      <c r="B272" s="11" t="s">
        <v>54</v>
      </c>
      <c r="C272" s="11" t="s">
        <v>41</v>
      </c>
      <c r="D272" s="11" t="s">
        <v>55</v>
      </c>
      <c r="E272" s="11" t="s">
        <v>118</v>
      </c>
      <c r="F272" s="11" t="s">
        <v>57</v>
      </c>
      <c r="G272" s="12" t="s">
        <v>90</v>
      </c>
      <c r="H272" s="11" t="s">
        <v>171</v>
      </c>
      <c r="I272" s="11" t="s">
        <v>46</v>
      </c>
      <c r="J272" s="11" t="s">
        <v>47</v>
      </c>
      <c r="K272" s="11" t="s">
        <v>59</v>
      </c>
      <c r="L272" s="11" t="s">
        <v>135</v>
      </c>
      <c r="M272" s="11" t="s">
        <v>50</v>
      </c>
      <c r="N272" s="11" t="s">
        <v>61</v>
      </c>
      <c r="O272" s="13" t="str">
        <f aca="false">IF(AND(R272&gt;600,Q272&gt;20000),"OBEDECE",IF(AND(R272&gt;300,Q272&gt;=10000,Q272&lt;=20000),"OBEDECE",IF(AND(R272&gt;150,Q272&gt;=5000,Q272&lt;=9999),"OBEDECE",IF(AND(R272&gt;60,Q272&gt;=2000,Q272&lt;=4999),"OBEDECE",IF(AND(R272&gt;30,Q272&gt;=1000,Q272&lt;=1999),"OBEDECE",IF(AND(R272&lt;=29,Q272&lt;=1000),"OBEDECE","NÃO OBEDECE"))))))</f>
        <v>NÃO OBEDECE</v>
      </c>
      <c r="P272" s="3" t="s">
        <v>68</v>
      </c>
      <c r="Q272" s="4" t="n">
        <v>15449</v>
      </c>
      <c r="R272" s="4" t="n">
        <v>90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1</v>
      </c>
      <c r="Y272" s="14" t="n">
        <v>0</v>
      </c>
      <c r="Z272" s="14" t="n">
        <v>0</v>
      </c>
      <c r="AA272" s="14" t="n">
        <v>0</v>
      </c>
      <c r="AB272" s="14" t="n">
        <v>0</v>
      </c>
      <c r="AC272" s="14" t="n">
        <v>0</v>
      </c>
      <c r="AD272" s="14" t="n">
        <v>0</v>
      </c>
      <c r="AE272" s="14" t="n">
        <v>0</v>
      </c>
      <c r="AF272" s="14" t="n">
        <v>0</v>
      </c>
      <c r="AG272" s="14" t="n">
        <v>0</v>
      </c>
      <c r="AH272" s="14" t="n">
        <v>0</v>
      </c>
      <c r="AI272" s="14" t="n">
        <v>0</v>
      </c>
      <c r="AJ272" s="14" t="n">
        <v>0</v>
      </c>
      <c r="AK272" s="14" t="n">
        <v>0</v>
      </c>
      <c r="AL272" s="14" t="n">
        <v>0</v>
      </c>
      <c r="AM272" s="14" t="n">
        <v>0</v>
      </c>
    </row>
    <row r="273" customFormat="false" ht="15" hidden="false" customHeight="false" outlineLevel="0" collapsed="false">
      <c r="A273" s="11" t="s">
        <v>426</v>
      </c>
      <c r="B273" s="11" t="s">
        <v>54</v>
      </c>
      <c r="C273" s="11" t="s">
        <v>66</v>
      </c>
      <c r="D273" s="11" t="s">
        <v>55</v>
      </c>
      <c r="E273" s="11" t="s">
        <v>118</v>
      </c>
      <c r="F273" s="11" t="s">
        <v>57</v>
      </c>
      <c r="G273" s="12" t="s">
        <v>427</v>
      </c>
      <c r="H273" s="11" t="s">
        <v>171</v>
      </c>
      <c r="I273" s="11" t="s">
        <v>46</v>
      </c>
      <c r="J273" s="11" t="s">
        <v>47</v>
      </c>
      <c r="K273" s="11" t="s">
        <v>59</v>
      </c>
      <c r="L273" s="11" t="s">
        <v>49</v>
      </c>
      <c r="M273" s="11" t="s">
        <v>60</v>
      </c>
      <c r="N273" s="11" t="s">
        <v>61</v>
      </c>
      <c r="O273" s="13" t="str">
        <f aca="false">IF(AND(R273&gt;600,Q273&gt;20000),"OBEDECE",IF(AND(R273&gt;300,Q273&gt;=10000,Q273&lt;=20000),"OBEDECE",IF(AND(R273&gt;150,Q273&gt;=5000,Q273&lt;=9999),"OBEDECE",IF(AND(R273&gt;60,Q273&gt;=2000,Q273&lt;=4999),"OBEDECE",IF(AND(R273&gt;30,Q273&gt;=1000,Q273&lt;=1999),"OBEDECE",IF(AND(R273&lt;=29,Q273&lt;=1000),"OBEDECE","NÃO OBEDECE"))))))</f>
        <v>NÃO OBEDECE</v>
      </c>
      <c r="P273" s="3" t="s">
        <v>52</v>
      </c>
      <c r="Q273" s="4" t="n">
        <v>12239</v>
      </c>
      <c r="R273" s="4" t="n">
        <v>86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n">
        <v>0</v>
      </c>
      <c r="AB273" s="14" t="n">
        <v>0</v>
      </c>
      <c r="AC273" s="14" t="n">
        <v>0</v>
      </c>
      <c r="AD273" s="14" t="n">
        <v>0</v>
      </c>
      <c r="AE273" s="14" t="n">
        <v>0</v>
      </c>
      <c r="AF273" s="14" t="n">
        <v>1</v>
      </c>
      <c r="AG273" s="14" t="n">
        <v>0</v>
      </c>
      <c r="AH273" s="14" t="n">
        <v>0</v>
      </c>
      <c r="AI273" s="14" t="n">
        <v>0</v>
      </c>
      <c r="AJ273" s="14" t="n">
        <v>0</v>
      </c>
      <c r="AK273" s="14" t="n">
        <v>0</v>
      </c>
      <c r="AL273" s="14" t="n">
        <v>1</v>
      </c>
      <c r="AM273" s="14" t="n">
        <v>0</v>
      </c>
    </row>
    <row r="274" customFormat="false" ht="15" hidden="false" customHeight="false" outlineLevel="0" collapsed="false">
      <c r="A274" s="11" t="s">
        <v>428</v>
      </c>
      <c r="B274" s="11" t="s">
        <v>54</v>
      </c>
      <c r="C274" s="11" t="s">
        <v>66</v>
      </c>
      <c r="D274" s="11" t="s">
        <v>55</v>
      </c>
      <c r="E274" s="11" t="s">
        <v>118</v>
      </c>
      <c r="F274" s="11" t="s">
        <v>57</v>
      </c>
      <c r="G274" s="12" t="s">
        <v>259</v>
      </c>
      <c r="H274" s="11" t="s">
        <v>171</v>
      </c>
      <c r="I274" s="11" t="s">
        <v>46</v>
      </c>
      <c r="J274" s="11" t="s">
        <v>47</v>
      </c>
      <c r="K274" s="11" t="s">
        <v>59</v>
      </c>
      <c r="L274" s="11" t="s">
        <v>135</v>
      </c>
      <c r="M274" s="11" t="s">
        <v>60</v>
      </c>
      <c r="N274" s="11" t="s">
        <v>71</v>
      </c>
      <c r="O274" s="13" t="str">
        <f aca="false">IF(AND(R274&gt;600,Q274&gt;20000),"OBEDECE",IF(AND(R274&gt;300,Q274&gt;=10000,Q274&lt;=20000),"OBEDECE",IF(AND(R274&gt;150,Q274&gt;=5000,Q274&lt;=9999),"OBEDECE",IF(AND(R274&gt;60,Q274&gt;=2000,Q274&lt;=4999),"OBEDECE",IF(AND(R274&gt;30,Q274&gt;=1000,Q274&lt;=1999),"OBEDECE",IF(AND(R274&lt;=29,Q274&lt;=1000),"OBEDECE","NÃO OBEDECE"))))))</f>
        <v>NÃO OBEDECE</v>
      </c>
      <c r="P274" s="3" t="s">
        <v>62</v>
      </c>
      <c r="Q274" s="4" t="n">
        <v>9959</v>
      </c>
      <c r="R274" s="4" t="n">
        <v>98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14" t="n">
        <v>0</v>
      </c>
      <c r="AB274" s="14" t="n">
        <v>0</v>
      </c>
      <c r="AC274" s="14" t="n">
        <v>0</v>
      </c>
      <c r="AD274" s="14" t="n">
        <v>0</v>
      </c>
      <c r="AE274" s="14" t="n">
        <v>0</v>
      </c>
      <c r="AF274" s="14" t="n">
        <v>0</v>
      </c>
      <c r="AG274" s="14" t="n">
        <v>0</v>
      </c>
      <c r="AH274" s="14" t="n">
        <v>0</v>
      </c>
      <c r="AI274" s="14" t="n">
        <v>0</v>
      </c>
      <c r="AJ274" s="14" t="n">
        <v>0</v>
      </c>
      <c r="AK274" s="14" t="n">
        <v>0</v>
      </c>
      <c r="AL274" s="14" t="n">
        <v>0</v>
      </c>
      <c r="AM274" s="14" t="n">
        <v>0</v>
      </c>
    </row>
    <row r="275" customFormat="false" ht="15" hidden="false" customHeight="false" outlineLevel="0" collapsed="false">
      <c r="A275" s="11" t="s">
        <v>429</v>
      </c>
      <c r="B275" s="11" t="s">
        <v>54</v>
      </c>
      <c r="C275" s="11" t="s">
        <v>41</v>
      </c>
      <c r="D275" s="11" t="s">
        <v>55</v>
      </c>
      <c r="E275" s="11" t="s">
        <v>118</v>
      </c>
      <c r="F275" s="11" t="s">
        <v>57</v>
      </c>
      <c r="G275" s="12" t="s">
        <v>296</v>
      </c>
      <c r="H275" s="11" t="s">
        <v>171</v>
      </c>
      <c r="I275" s="11" t="s">
        <v>46</v>
      </c>
      <c r="J275" s="11" t="s">
        <v>47</v>
      </c>
      <c r="K275" s="11" t="s">
        <v>59</v>
      </c>
      <c r="L275" s="11" t="s">
        <v>135</v>
      </c>
      <c r="M275" s="11" t="s">
        <v>60</v>
      </c>
      <c r="N275" s="11" t="s">
        <v>61</v>
      </c>
      <c r="O275" s="13" t="str">
        <f aca="false">IF(AND(R275&gt;600,Q275&gt;20000),"OBEDECE",IF(AND(R275&gt;300,Q275&gt;=10000,Q275&lt;=20000),"OBEDECE",IF(AND(R275&gt;150,Q275&gt;=5000,Q275&lt;=9999),"OBEDECE",IF(AND(R275&gt;60,Q275&gt;=2000,Q275&lt;=4999),"OBEDECE",IF(AND(R275&gt;30,Q275&gt;=1000,Q275&lt;=1999),"OBEDECE",IF(AND(R275&lt;=29,Q275&lt;=1000),"OBEDECE","NÃO OBEDECE"))))))</f>
        <v>NÃO OBEDECE</v>
      </c>
      <c r="P275" s="3" t="s">
        <v>52</v>
      </c>
      <c r="Q275" s="4" t="n">
        <v>13440</v>
      </c>
      <c r="R275" s="4" t="n">
        <v>83</v>
      </c>
      <c r="S275" s="14" t="n">
        <v>0</v>
      </c>
      <c r="T275" s="14" t="n">
        <v>0</v>
      </c>
      <c r="U275" s="14" t="n">
        <v>0</v>
      </c>
      <c r="V275" s="14" t="n">
        <v>1</v>
      </c>
      <c r="W275" s="14" t="n">
        <v>0</v>
      </c>
      <c r="X275" s="14" t="n">
        <v>0</v>
      </c>
      <c r="Y275" s="14" t="n">
        <v>0</v>
      </c>
      <c r="Z275" s="14" t="n">
        <v>0</v>
      </c>
      <c r="AA275" s="14" t="n">
        <v>0</v>
      </c>
      <c r="AB275" s="14" t="n">
        <v>0</v>
      </c>
      <c r="AC275" s="14" t="n">
        <v>0</v>
      </c>
      <c r="AD275" s="14" t="n">
        <v>0</v>
      </c>
      <c r="AE275" s="14" t="n">
        <v>0</v>
      </c>
      <c r="AF275" s="14" t="n">
        <v>0</v>
      </c>
      <c r="AG275" s="14" t="n">
        <v>0</v>
      </c>
      <c r="AH275" s="14" t="n">
        <v>0</v>
      </c>
      <c r="AI275" s="14" t="n">
        <v>0</v>
      </c>
      <c r="AJ275" s="14" t="n">
        <v>0</v>
      </c>
      <c r="AK275" s="14" t="n">
        <v>0</v>
      </c>
      <c r="AL275" s="14" t="n">
        <v>0</v>
      </c>
      <c r="AM275" s="14" t="n">
        <v>1</v>
      </c>
    </row>
    <row r="276" customFormat="false" ht="15" hidden="false" customHeight="false" outlineLevel="0" collapsed="false">
      <c r="A276" s="11" t="s">
        <v>430</v>
      </c>
      <c r="B276" s="11" t="s">
        <v>54</v>
      </c>
      <c r="C276" s="11" t="s">
        <v>66</v>
      </c>
      <c r="D276" s="11" t="s">
        <v>55</v>
      </c>
      <c r="E276" s="11" t="s">
        <v>118</v>
      </c>
      <c r="F276" s="11" t="s">
        <v>57</v>
      </c>
      <c r="G276" s="12" t="s">
        <v>106</v>
      </c>
      <c r="H276" s="11" t="s">
        <v>171</v>
      </c>
      <c r="I276" s="11" t="s">
        <v>46</v>
      </c>
      <c r="J276" s="11" t="s">
        <v>47</v>
      </c>
      <c r="K276" s="11" t="s">
        <v>59</v>
      </c>
      <c r="L276" s="11" t="s">
        <v>135</v>
      </c>
      <c r="M276" s="11" t="s">
        <v>60</v>
      </c>
      <c r="N276" s="11" t="s">
        <v>51</v>
      </c>
      <c r="O276" s="13" t="str">
        <f aca="false">IF(AND(R276&gt;600,Q276&gt;20000),"OBEDECE",IF(AND(R276&gt;300,Q276&gt;=10000,Q276&lt;=20000),"OBEDECE",IF(AND(R276&gt;150,Q276&gt;=5000,Q276&lt;=9999),"OBEDECE",IF(AND(R276&gt;60,Q276&gt;=2000,Q276&lt;=4999),"OBEDECE",IF(AND(R276&gt;30,Q276&gt;=1000,Q276&lt;=1999),"OBEDECE",IF(AND(R276&lt;=29,Q276&lt;=1000),"OBEDECE","NÃO OBEDECE"))))))</f>
        <v>NÃO OBEDECE</v>
      </c>
      <c r="P276" s="3" t="s">
        <v>52</v>
      </c>
      <c r="Q276" s="4" t="n">
        <v>23426</v>
      </c>
      <c r="R276" s="4" t="n">
        <v>66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1</v>
      </c>
      <c r="AM276" s="14" t="n">
        <v>0</v>
      </c>
    </row>
    <row r="277" customFormat="false" ht="15" hidden="false" customHeight="false" outlineLevel="0" collapsed="false">
      <c r="A277" s="11" t="s">
        <v>431</v>
      </c>
      <c r="B277" s="11" t="s">
        <v>54</v>
      </c>
      <c r="C277" s="11" t="s">
        <v>66</v>
      </c>
      <c r="D277" s="11" t="s">
        <v>42</v>
      </c>
      <c r="E277" s="11" t="s">
        <v>118</v>
      </c>
      <c r="F277" s="11" t="s">
        <v>57</v>
      </c>
      <c r="G277" s="15" t="s">
        <v>155</v>
      </c>
      <c r="H277" s="11" t="s">
        <v>171</v>
      </c>
      <c r="I277" s="11" t="s">
        <v>46</v>
      </c>
      <c r="J277" s="11" t="s">
        <v>47</v>
      </c>
      <c r="K277" s="11" t="s">
        <v>59</v>
      </c>
      <c r="L277" s="11" t="s">
        <v>49</v>
      </c>
      <c r="M277" s="11" t="s">
        <v>50</v>
      </c>
      <c r="N277" s="11" t="s">
        <v>51</v>
      </c>
      <c r="O277" s="13" t="str">
        <f aca="false">IF(AND(R277&gt;600,Q277&gt;20000),"OBEDECE",IF(AND(R277&gt;300,Q277&gt;=10000,Q277&lt;=20000),"OBEDECE",IF(AND(R277&gt;150,Q277&gt;=5000,Q277&lt;=9999),"OBEDECE",IF(AND(R277&gt;60,Q277&gt;=2000,Q277&lt;=4999),"OBEDECE",IF(AND(R277&gt;30,Q277&gt;=1000,Q277&lt;=1999),"OBEDECE",IF(AND(R277&lt;=29,Q277&lt;=1000),"OBEDECE","NÃO OBEDECE"))))))</f>
        <v>NÃO OBEDECE</v>
      </c>
      <c r="P277" s="3" t="s">
        <v>62</v>
      </c>
      <c r="Q277" s="4" t="n">
        <v>20235</v>
      </c>
      <c r="R277" s="4" t="n">
        <v>77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n">
        <v>0</v>
      </c>
      <c r="AB277" s="14" t="n">
        <v>0</v>
      </c>
      <c r="AC277" s="14" t="n">
        <v>0</v>
      </c>
      <c r="AD277" s="14" t="n">
        <v>0</v>
      </c>
      <c r="AE277" s="14" t="n">
        <v>0</v>
      </c>
      <c r="AF277" s="14" t="n">
        <v>0</v>
      </c>
      <c r="AG277" s="14" t="n">
        <v>0</v>
      </c>
      <c r="AH277" s="14" t="n">
        <v>0</v>
      </c>
      <c r="AI277" s="14" t="n">
        <v>0</v>
      </c>
      <c r="AJ277" s="14" t="n">
        <v>0</v>
      </c>
      <c r="AK277" s="14" t="n">
        <v>0</v>
      </c>
      <c r="AL277" s="14" t="n">
        <v>0</v>
      </c>
      <c r="AM277" s="14" t="n">
        <v>0</v>
      </c>
    </row>
    <row r="278" customFormat="false" ht="15" hidden="false" customHeight="false" outlineLevel="0" collapsed="false">
      <c r="A278" s="11" t="s">
        <v>432</v>
      </c>
      <c r="B278" s="11" t="s">
        <v>40</v>
      </c>
      <c r="C278" s="11" t="s">
        <v>41</v>
      </c>
      <c r="D278" s="11" t="s">
        <v>42</v>
      </c>
      <c r="E278" s="11" t="s">
        <v>118</v>
      </c>
      <c r="F278" s="11" t="s">
        <v>57</v>
      </c>
      <c r="G278" s="12" t="s">
        <v>145</v>
      </c>
      <c r="H278" s="11" t="s">
        <v>171</v>
      </c>
      <c r="I278" s="11" t="s">
        <v>46</v>
      </c>
      <c r="J278" s="11" t="s">
        <v>47</v>
      </c>
      <c r="K278" s="11" t="s">
        <v>59</v>
      </c>
      <c r="L278" s="11" t="s">
        <v>135</v>
      </c>
      <c r="M278" s="11" t="s">
        <v>60</v>
      </c>
      <c r="N278" s="11" t="s">
        <v>51</v>
      </c>
      <c r="O278" s="13" t="str">
        <f aca="false">IF(AND(R278&gt;600,Q278&gt;20000),"OBEDECE",IF(AND(R278&gt;300,Q278&gt;=10000,Q278&lt;=20000),"OBEDECE",IF(AND(R278&gt;150,Q278&gt;=5000,Q278&lt;=9999),"OBEDECE",IF(AND(R278&gt;60,Q278&gt;=2000,Q278&lt;=4999),"OBEDECE",IF(AND(R278&gt;30,Q278&gt;=1000,Q278&lt;=1999),"OBEDECE",IF(AND(R278&lt;=29,Q278&lt;=1000),"OBEDECE","NÃO OBEDECE"))))))</f>
        <v>NÃO OBEDECE</v>
      </c>
      <c r="P278" s="3" t="s">
        <v>52</v>
      </c>
      <c r="Q278" s="4" t="n">
        <v>33345</v>
      </c>
      <c r="R278" s="4" t="n">
        <v>91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3</v>
      </c>
      <c r="Y278" s="14" t="n">
        <v>0</v>
      </c>
      <c r="Z278" s="14" t="n">
        <v>0</v>
      </c>
      <c r="AA278" s="14" t="n">
        <v>0</v>
      </c>
      <c r="AB278" s="14" t="n">
        <v>1</v>
      </c>
      <c r="AC278" s="14" t="n">
        <v>0</v>
      </c>
      <c r="AD278" s="14" t="n">
        <v>0</v>
      </c>
      <c r="AE278" s="14" t="n">
        <v>0</v>
      </c>
      <c r="AF278" s="14" t="n">
        <v>0</v>
      </c>
      <c r="AG278" s="14" t="n">
        <v>0</v>
      </c>
      <c r="AH278" s="14" t="n">
        <v>0</v>
      </c>
      <c r="AI278" s="14" t="n">
        <v>0</v>
      </c>
      <c r="AJ278" s="14" t="n">
        <v>0</v>
      </c>
      <c r="AK278" s="14" t="n">
        <v>1</v>
      </c>
      <c r="AL278" s="14" t="n">
        <v>0</v>
      </c>
      <c r="AM278" s="14" t="n">
        <v>1</v>
      </c>
    </row>
    <row r="279" customFormat="false" ht="15" hidden="false" customHeight="false" outlineLevel="0" collapsed="false">
      <c r="A279" s="11" t="s">
        <v>433</v>
      </c>
      <c r="B279" s="11" t="s">
        <v>54</v>
      </c>
      <c r="C279" s="11" t="s">
        <v>41</v>
      </c>
      <c r="D279" s="11" t="s">
        <v>55</v>
      </c>
      <c r="E279" s="11" t="s">
        <v>118</v>
      </c>
      <c r="F279" s="11" t="s">
        <v>57</v>
      </c>
      <c r="G279" s="12" t="s">
        <v>76</v>
      </c>
      <c r="H279" s="11" t="s">
        <v>171</v>
      </c>
      <c r="I279" s="11" t="s">
        <v>46</v>
      </c>
      <c r="J279" s="11" t="s">
        <v>47</v>
      </c>
      <c r="K279" s="11" t="s">
        <v>59</v>
      </c>
      <c r="L279" s="11" t="s">
        <v>135</v>
      </c>
      <c r="M279" s="11" t="s">
        <v>50</v>
      </c>
      <c r="N279" s="11" t="s">
        <v>51</v>
      </c>
      <c r="O279" s="13" t="str">
        <f aca="false">IF(AND(R279&gt;600,Q279&gt;20000),"OBEDECE",IF(AND(R279&gt;300,Q279&gt;=10000,Q279&lt;=20000),"OBEDECE",IF(AND(R279&gt;150,Q279&gt;=5000,Q279&lt;=9999),"OBEDECE",IF(AND(R279&gt;60,Q279&gt;=2000,Q279&lt;=4999),"OBEDECE",IF(AND(R279&gt;30,Q279&gt;=1000,Q279&lt;=1999),"OBEDECE",IF(AND(R279&lt;=29,Q279&lt;=1000),"OBEDECE","NÃO OBEDECE"))))))</f>
        <v>NÃO OBEDECE</v>
      </c>
      <c r="P279" s="3" t="s">
        <v>62</v>
      </c>
      <c r="Q279" s="4" t="n">
        <v>27160</v>
      </c>
      <c r="R279" s="4" t="n">
        <v>101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4" t="n">
        <v>0</v>
      </c>
      <c r="AC279" s="14" t="n">
        <v>0</v>
      </c>
      <c r="AD279" s="14" t="n">
        <v>0</v>
      </c>
      <c r="AE279" s="14" t="n">
        <v>0</v>
      </c>
      <c r="AF279" s="14" t="n">
        <v>0</v>
      </c>
      <c r="AG279" s="14" t="n">
        <v>0</v>
      </c>
      <c r="AH279" s="14" t="n">
        <v>0</v>
      </c>
      <c r="AI279" s="14" t="n">
        <v>0</v>
      </c>
      <c r="AJ279" s="14" t="n">
        <v>0</v>
      </c>
      <c r="AK279" s="14" t="n">
        <v>0</v>
      </c>
      <c r="AL279" s="14" t="n">
        <v>0</v>
      </c>
      <c r="AM279" s="14" t="n">
        <v>0</v>
      </c>
    </row>
    <row r="280" customFormat="false" ht="15" hidden="false" customHeight="false" outlineLevel="0" collapsed="false">
      <c r="A280" s="11" t="s">
        <v>434</v>
      </c>
      <c r="B280" s="11" t="s">
        <v>54</v>
      </c>
      <c r="C280" s="11" t="s">
        <v>41</v>
      </c>
      <c r="D280" s="11" t="s">
        <v>55</v>
      </c>
      <c r="E280" s="11" t="s">
        <v>118</v>
      </c>
      <c r="F280" s="11" t="s">
        <v>57</v>
      </c>
      <c r="G280" s="12" t="s">
        <v>201</v>
      </c>
      <c r="H280" s="11" t="s">
        <v>171</v>
      </c>
      <c r="I280" s="11" t="s">
        <v>46</v>
      </c>
      <c r="J280" s="11" t="s">
        <v>47</v>
      </c>
      <c r="K280" s="11" t="s">
        <v>59</v>
      </c>
      <c r="L280" s="11" t="s">
        <v>135</v>
      </c>
      <c r="M280" s="11" t="s">
        <v>60</v>
      </c>
      <c r="N280" s="11" t="s">
        <v>51</v>
      </c>
      <c r="O280" s="13" t="str">
        <f aca="false">IF(AND(R280&gt;600,Q280&gt;20000),"OBEDECE",IF(AND(R280&gt;300,Q280&gt;=10000,Q280&lt;=20000),"OBEDECE",IF(AND(R280&gt;150,Q280&gt;=5000,Q280&lt;=9999),"OBEDECE",IF(AND(R280&gt;60,Q280&gt;=2000,Q280&lt;=4999),"OBEDECE",IF(AND(R280&gt;30,Q280&gt;=1000,Q280&lt;=1999),"OBEDECE",IF(AND(R280&lt;=29,Q280&lt;=1000),"OBEDECE","NÃO OBEDECE"))))))</f>
        <v>NÃO OBEDECE</v>
      </c>
      <c r="P280" s="3" t="s">
        <v>68</v>
      </c>
      <c r="Q280" s="4" t="n">
        <v>26197</v>
      </c>
      <c r="R280" s="4" t="n">
        <v>91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1</v>
      </c>
      <c r="Y280" s="14" t="n">
        <v>0</v>
      </c>
      <c r="Z280" s="14" t="n">
        <v>0</v>
      </c>
      <c r="AA280" s="14" t="n">
        <v>0</v>
      </c>
      <c r="AB280" s="14" t="n">
        <v>0</v>
      </c>
      <c r="AC280" s="14" t="n">
        <v>0</v>
      </c>
      <c r="AD280" s="14" t="n">
        <v>0</v>
      </c>
      <c r="AE280" s="14" t="n">
        <v>0</v>
      </c>
      <c r="AF280" s="14" t="n">
        <v>0</v>
      </c>
      <c r="AG280" s="14" t="n">
        <v>0</v>
      </c>
      <c r="AH280" s="14" t="n">
        <v>0</v>
      </c>
      <c r="AI280" s="14" t="n">
        <v>0</v>
      </c>
      <c r="AJ280" s="14" t="n">
        <v>0</v>
      </c>
      <c r="AK280" s="14" t="n">
        <v>0</v>
      </c>
      <c r="AL280" s="14" t="n">
        <v>0</v>
      </c>
      <c r="AM280" s="14" t="n">
        <v>0</v>
      </c>
    </row>
    <row r="281" customFormat="false" ht="15" hidden="false" customHeight="false" outlineLevel="0" collapsed="false">
      <c r="A281" s="11" t="s">
        <v>435</v>
      </c>
      <c r="B281" s="11" t="s">
        <v>40</v>
      </c>
      <c r="C281" s="11" t="s">
        <v>66</v>
      </c>
      <c r="D281" s="11" t="s">
        <v>42</v>
      </c>
      <c r="E281" s="11" t="s">
        <v>118</v>
      </c>
      <c r="F281" s="11" t="s">
        <v>57</v>
      </c>
      <c r="G281" s="12" t="s">
        <v>436</v>
      </c>
      <c r="H281" s="11" t="s">
        <v>171</v>
      </c>
      <c r="I281" s="11" t="s">
        <v>46</v>
      </c>
      <c r="J281" s="11" t="s">
        <v>47</v>
      </c>
      <c r="K281" s="11" t="s">
        <v>59</v>
      </c>
      <c r="L281" s="11" t="s">
        <v>135</v>
      </c>
      <c r="M281" s="11" t="s">
        <v>60</v>
      </c>
      <c r="N281" s="11" t="s">
        <v>61</v>
      </c>
      <c r="O281" s="13" t="str">
        <f aca="false">IF(AND(R281&gt;600,Q281&gt;20000),"OBEDECE",IF(AND(R281&gt;300,Q281&gt;=10000,Q281&lt;=20000),"OBEDECE",IF(AND(R281&gt;150,Q281&gt;=5000,Q281&lt;=9999),"OBEDECE",IF(AND(R281&gt;60,Q281&gt;=2000,Q281&lt;=4999),"OBEDECE",IF(AND(R281&gt;30,Q281&gt;=1000,Q281&lt;=1999),"OBEDECE",IF(AND(R281&lt;=29,Q281&lt;=1000),"OBEDECE","NÃO OBEDECE"))))))</f>
        <v>NÃO OBEDECE</v>
      </c>
      <c r="P281" s="3" t="s">
        <v>52</v>
      </c>
      <c r="Q281" s="4" t="n">
        <v>19900</v>
      </c>
      <c r="R281" s="4" t="n">
        <v>79</v>
      </c>
      <c r="S281" s="14" t="n">
        <v>0</v>
      </c>
      <c r="T281" s="14" t="n">
        <v>0</v>
      </c>
      <c r="U281" s="14" t="n">
        <v>0</v>
      </c>
      <c r="V281" s="14" t="n">
        <v>1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v>0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1</v>
      </c>
    </row>
    <row r="282" customFormat="false" ht="15" hidden="false" customHeight="false" outlineLevel="0" collapsed="false">
      <c r="A282" s="11" t="s">
        <v>437</v>
      </c>
      <c r="B282" s="11" t="s">
        <v>40</v>
      </c>
      <c r="C282" s="11" t="s">
        <v>41</v>
      </c>
      <c r="D282" s="11" t="s">
        <v>42</v>
      </c>
      <c r="E282" s="11" t="s">
        <v>118</v>
      </c>
      <c r="F282" s="11" t="s">
        <v>57</v>
      </c>
      <c r="G282" s="12" t="s">
        <v>67</v>
      </c>
      <c r="H282" s="11" t="s">
        <v>171</v>
      </c>
      <c r="I282" s="11" t="s">
        <v>46</v>
      </c>
      <c r="J282" s="11" t="s">
        <v>47</v>
      </c>
      <c r="K282" s="11" t="s">
        <v>59</v>
      </c>
      <c r="L282" s="11" t="s">
        <v>135</v>
      </c>
      <c r="M282" s="11" t="s">
        <v>60</v>
      </c>
      <c r="N282" s="11" t="s">
        <v>51</v>
      </c>
      <c r="O282" s="13" t="str">
        <f aca="false">IF(AND(R282&gt;600,Q282&gt;20000),"OBEDECE",IF(AND(R282&gt;300,Q282&gt;=10000,Q282&lt;=20000),"OBEDECE",IF(AND(R282&gt;150,Q282&gt;=5000,Q282&lt;=9999),"OBEDECE",IF(AND(R282&gt;60,Q282&gt;=2000,Q282&lt;=4999),"OBEDECE",IF(AND(R282&gt;30,Q282&gt;=1000,Q282&lt;=1999),"OBEDECE",IF(AND(R282&lt;=29,Q282&lt;=1000),"OBEDECE","NÃO OBEDECE"))))))</f>
        <v>NÃO OBEDECE</v>
      </c>
      <c r="P282" s="3" t="s">
        <v>52</v>
      </c>
      <c r="Q282" s="4" t="n">
        <v>41671</v>
      </c>
      <c r="R282" s="4" t="n">
        <v>86</v>
      </c>
      <c r="S282" s="14" t="n">
        <v>0</v>
      </c>
      <c r="T282" s="14" t="n">
        <v>0</v>
      </c>
      <c r="U282" s="14" t="n">
        <v>0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14" t="n">
        <v>0</v>
      </c>
      <c r="AB282" s="14" t="n">
        <v>0</v>
      </c>
      <c r="AC282" s="14" t="n">
        <v>0</v>
      </c>
      <c r="AD282" s="14" t="n">
        <v>0</v>
      </c>
      <c r="AE282" s="14" t="n">
        <v>0</v>
      </c>
      <c r="AF282" s="14" t="n">
        <v>0</v>
      </c>
      <c r="AG282" s="14" t="n">
        <v>0</v>
      </c>
      <c r="AH282" s="14" t="n">
        <v>0</v>
      </c>
      <c r="AI282" s="14" t="n">
        <v>0</v>
      </c>
      <c r="AJ282" s="14" t="n">
        <v>0</v>
      </c>
      <c r="AK282" s="14" t="n">
        <v>1</v>
      </c>
      <c r="AL282" s="14" t="n">
        <v>0</v>
      </c>
      <c r="AM282" s="14" t="n">
        <v>0</v>
      </c>
    </row>
    <row r="283" customFormat="false" ht="15" hidden="false" customHeight="false" outlineLevel="0" collapsed="false">
      <c r="A283" s="11" t="s">
        <v>438</v>
      </c>
      <c r="B283" s="11" t="s">
        <v>54</v>
      </c>
      <c r="C283" s="11" t="s">
        <v>66</v>
      </c>
      <c r="D283" s="11" t="s">
        <v>55</v>
      </c>
      <c r="E283" s="11" t="s">
        <v>118</v>
      </c>
      <c r="F283" s="11" t="s">
        <v>57</v>
      </c>
      <c r="G283" s="15" t="s">
        <v>221</v>
      </c>
      <c r="H283" s="11" t="s">
        <v>171</v>
      </c>
      <c r="I283" s="11" t="s">
        <v>46</v>
      </c>
      <c r="J283" s="11" t="s">
        <v>47</v>
      </c>
      <c r="K283" s="11" t="s">
        <v>59</v>
      </c>
      <c r="L283" s="11" t="s">
        <v>135</v>
      </c>
      <c r="M283" s="11" t="s">
        <v>50</v>
      </c>
      <c r="N283" s="11" t="s">
        <v>51</v>
      </c>
      <c r="O283" s="13" t="str">
        <f aca="false">IF(AND(R283&gt;600,Q283&gt;20000),"OBEDECE",IF(AND(R283&gt;300,Q283&gt;=10000,Q283&lt;=20000),"OBEDECE",IF(AND(R283&gt;150,Q283&gt;=5000,Q283&lt;=9999),"OBEDECE",IF(AND(R283&gt;60,Q283&gt;=2000,Q283&lt;=4999),"OBEDECE",IF(AND(R283&gt;30,Q283&gt;=1000,Q283&lt;=1999),"OBEDECE",IF(AND(R283&lt;=29,Q283&lt;=1000),"OBEDECE","NÃO OBEDECE"))))))</f>
        <v>NÃO OBEDECE</v>
      </c>
      <c r="P283" s="3" t="s">
        <v>68</v>
      </c>
      <c r="Q283" s="4" t="n">
        <v>23386</v>
      </c>
      <c r="R283" s="4" t="n">
        <v>90</v>
      </c>
      <c r="S283" s="14" t="n">
        <v>0</v>
      </c>
      <c r="T283" s="14" t="n">
        <v>0</v>
      </c>
      <c r="U283" s="14" t="n">
        <v>0</v>
      </c>
      <c r="V283" s="14" t="n">
        <v>1</v>
      </c>
      <c r="W283" s="14" t="n">
        <v>0</v>
      </c>
      <c r="X283" s="14" t="n">
        <v>0</v>
      </c>
      <c r="Y283" s="14" t="n">
        <v>0</v>
      </c>
      <c r="Z283" s="14" t="n">
        <v>0</v>
      </c>
      <c r="AA283" s="14" t="n">
        <v>0</v>
      </c>
      <c r="AB283" s="14" t="n">
        <v>0</v>
      </c>
      <c r="AC283" s="14" t="n">
        <v>0</v>
      </c>
      <c r="AD283" s="14" t="n">
        <v>0</v>
      </c>
      <c r="AE283" s="14" t="n">
        <v>0</v>
      </c>
      <c r="AF283" s="14" t="n">
        <v>0</v>
      </c>
      <c r="AG283" s="14" t="n">
        <v>0</v>
      </c>
      <c r="AH283" s="14" t="n">
        <v>0</v>
      </c>
      <c r="AI283" s="14" t="n">
        <v>0</v>
      </c>
      <c r="AJ283" s="14" t="n">
        <v>0</v>
      </c>
      <c r="AK283" s="14" t="n">
        <v>0</v>
      </c>
      <c r="AL283" s="14" t="n">
        <v>0</v>
      </c>
      <c r="AM283" s="14" t="n">
        <v>0</v>
      </c>
    </row>
    <row r="284" customFormat="false" ht="15" hidden="false" customHeight="false" outlineLevel="0" collapsed="false">
      <c r="A284" s="11" t="s">
        <v>439</v>
      </c>
      <c r="B284" s="11" t="s">
        <v>54</v>
      </c>
      <c r="C284" s="11" t="s">
        <v>66</v>
      </c>
      <c r="D284" s="11" t="s">
        <v>55</v>
      </c>
      <c r="E284" s="11" t="s">
        <v>118</v>
      </c>
      <c r="F284" s="11" t="s">
        <v>57</v>
      </c>
      <c r="G284" s="12" t="s">
        <v>108</v>
      </c>
      <c r="H284" s="11" t="s">
        <v>171</v>
      </c>
      <c r="I284" s="11" t="s">
        <v>46</v>
      </c>
      <c r="J284" s="11" t="s">
        <v>47</v>
      </c>
      <c r="K284" s="11" t="s">
        <v>59</v>
      </c>
      <c r="L284" s="11" t="s">
        <v>135</v>
      </c>
      <c r="M284" s="11" t="s">
        <v>50</v>
      </c>
      <c r="N284" s="11" t="s">
        <v>51</v>
      </c>
      <c r="O284" s="13" t="str">
        <f aca="false">IF(AND(R284&gt;600,Q284&gt;20000),"OBEDECE",IF(AND(R284&gt;300,Q284&gt;=10000,Q284&lt;=20000),"OBEDECE",IF(AND(R284&gt;150,Q284&gt;=5000,Q284&lt;=9999),"OBEDECE",IF(AND(R284&gt;60,Q284&gt;=2000,Q284&lt;=4999),"OBEDECE",IF(AND(R284&gt;30,Q284&gt;=1000,Q284&lt;=1999),"OBEDECE",IF(AND(R284&lt;=29,Q284&lt;=1000),"OBEDECE","NÃO OBEDECE"))))))</f>
        <v>NÃO OBEDECE</v>
      </c>
      <c r="P284" s="3" t="s">
        <v>68</v>
      </c>
      <c r="Q284" s="4" t="n">
        <v>28484</v>
      </c>
      <c r="R284" s="4" t="n">
        <v>82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1</v>
      </c>
      <c r="Y284" s="14" t="n">
        <v>1</v>
      </c>
      <c r="Z284" s="14" t="n">
        <v>0</v>
      </c>
      <c r="AA284" s="14" t="n">
        <v>0</v>
      </c>
      <c r="AB284" s="14" t="n">
        <v>0</v>
      </c>
      <c r="AC284" s="14" t="n">
        <v>0</v>
      </c>
      <c r="AD284" s="14" t="n">
        <v>0</v>
      </c>
      <c r="AE284" s="14" t="n">
        <v>0</v>
      </c>
      <c r="AF284" s="14" t="n">
        <v>0</v>
      </c>
      <c r="AG284" s="14" t="n">
        <v>0</v>
      </c>
      <c r="AH284" s="14" t="n">
        <v>0</v>
      </c>
      <c r="AI284" s="14" t="n">
        <v>0</v>
      </c>
      <c r="AJ284" s="14" t="n">
        <v>0</v>
      </c>
      <c r="AK284" s="14" t="n">
        <v>0</v>
      </c>
      <c r="AL284" s="14" t="n">
        <v>0</v>
      </c>
      <c r="AM284" s="14" t="n">
        <v>0</v>
      </c>
    </row>
    <row r="285" customFormat="false" ht="15" hidden="false" customHeight="false" outlineLevel="0" collapsed="false">
      <c r="A285" s="11" t="s">
        <v>440</v>
      </c>
      <c r="B285" s="11" t="s">
        <v>40</v>
      </c>
      <c r="C285" s="11" t="s">
        <v>41</v>
      </c>
      <c r="D285" s="11" t="s">
        <v>42</v>
      </c>
      <c r="E285" s="11" t="s">
        <v>118</v>
      </c>
      <c r="F285" s="11" t="s">
        <v>57</v>
      </c>
      <c r="G285" s="12" t="s">
        <v>441</v>
      </c>
      <c r="H285" s="11" t="s">
        <v>171</v>
      </c>
      <c r="I285" s="11" t="s">
        <v>46</v>
      </c>
      <c r="J285" s="11" t="s">
        <v>47</v>
      </c>
      <c r="K285" s="11" t="s">
        <v>59</v>
      </c>
      <c r="L285" s="11" t="s">
        <v>135</v>
      </c>
      <c r="M285" s="11" t="s">
        <v>60</v>
      </c>
      <c r="N285" s="11" t="s">
        <v>51</v>
      </c>
      <c r="O285" s="13" t="str">
        <f aca="false">IF(AND(R285&gt;600,Q285&gt;20000),"OBEDECE",IF(AND(R285&gt;300,Q285&gt;=10000,Q285&lt;=20000),"OBEDECE",IF(AND(R285&gt;150,Q285&gt;=5000,Q285&lt;=9999),"OBEDECE",IF(AND(R285&gt;60,Q285&gt;=2000,Q285&lt;=4999),"OBEDECE",IF(AND(R285&gt;30,Q285&gt;=1000,Q285&lt;=1999),"OBEDECE",IF(AND(R285&lt;=29,Q285&lt;=1000),"OBEDECE","NÃO OBEDECE"))))))</f>
        <v>NÃO OBEDECE</v>
      </c>
      <c r="P285" s="3" t="s">
        <v>68</v>
      </c>
      <c r="Q285" s="4" t="n">
        <v>43538</v>
      </c>
      <c r="R285" s="4" t="n">
        <v>101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4</v>
      </c>
      <c r="Y285" s="14" t="n">
        <v>0</v>
      </c>
      <c r="Z285" s="14" t="n">
        <v>0</v>
      </c>
      <c r="AA285" s="14" t="n">
        <v>0</v>
      </c>
      <c r="AB285" s="14" t="n">
        <v>0</v>
      </c>
      <c r="AC285" s="14" t="n">
        <v>0</v>
      </c>
      <c r="AD285" s="14" t="n">
        <v>0</v>
      </c>
      <c r="AE285" s="14" t="n">
        <v>0</v>
      </c>
      <c r="AF285" s="14" t="n">
        <v>0</v>
      </c>
      <c r="AG285" s="14" t="n">
        <v>0</v>
      </c>
      <c r="AH285" s="14" t="n">
        <v>0</v>
      </c>
      <c r="AI285" s="14" t="n">
        <v>0</v>
      </c>
      <c r="AJ285" s="14" t="n">
        <v>0</v>
      </c>
      <c r="AK285" s="14" t="n">
        <v>0</v>
      </c>
      <c r="AL285" s="14" t="n">
        <v>0</v>
      </c>
      <c r="AM285" s="14" t="n">
        <v>0</v>
      </c>
    </row>
    <row r="286" customFormat="false" ht="15" hidden="false" customHeight="false" outlineLevel="0" collapsed="false">
      <c r="A286" s="11" t="s">
        <v>442</v>
      </c>
      <c r="B286" s="11" t="s">
        <v>54</v>
      </c>
      <c r="C286" s="11" t="s">
        <v>41</v>
      </c>
      <c r="D286" s="11" t="s">
        <v>55</v>
      </c>
      <c r="E286" s="11" t="s">
        <v>118</v>
      </c>
      <c r="F286" s="11" t="s">
        <v>57</v>
      </c>
      <c r="G286" s="12" t="s">
        <v>443</v>
      </c>
      <c r="H286" s="11" t="s">
        <v>171</v>
      </c>
      <c r="I286" s="11" t="s">
        <v>46</v>
      </c>
      <c r="J286" s="11" t="s">
        <v>47</v>
      </c>
      <c r="K286" s="11" t="s">
        <v>59</v>
      </c>
      <c r="L286" s="11" t="s">
        <v>135</v>
      </c>
      <c r="M286" s="11" t="s">
        <v>60</v>
      </c>
      <c r="N286" s="11" t="s">
        <v>51</v>
      </c>
      <c r="O286" s="13" t="str">
        <f aca="false">IF(AND(R286&gt;600,Q286&gt;20000),"OBEDECE",IF(AND(R286&gt;300,Q286&gt;=10000,Q286&lt;=20000),"OBEDECE",IF(AND(R286&gt;150,Q286&gt;=5000,Q286&lt;=9999),"OBEDECE",IF(AND(R286&gt;60,Q286&gt;=2000,Q286&lt;=4999),"OBEDECE",IF(AND(R286&gt;30,Q286&gt;=1000,Q286&lt;=1999),"OBEDECE",IF(AND(R286&lt;=29,Q286&lt;=1000),"OBEDECE","NÃO OBEDECE"))))))</f>
        <v>NÃO OBEDECE</v>
      </c>
      <c r="P286" s="3" t="s">
        <v>68</v>
      </c>
      <c r="Q286" s="4" t="n">
        <v>25436</v>
      </c>
      <c r="R286" s="4" t="n">
        <v>81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1</v>
      </c>
      <c r="AA286" s="14" t="n">
        <v>0</v>
      </c>
      <c r="AB286" s="14" t="n">
        <v>0</v>
      </c>
      <c r="AC286" s="14" t="n">
        <v>0</v>
      </c>
      <c r="AD286" s="14" t="n">
        <v>0</v>
      </c>
      <c r="AE286" s="14" t="n">
        <v>0</v>
      </c>
      <c r="AF286" s="14" t="n">
        <v>0</v>
      </c>
      <c r="AG286" s="14" t="n">
        <v>0</v>
      </c>
      <c r="AH286" s="14" t="n">
        <v>0</v>
      </c>
      <c r="AI286" s="14" t="n">
        <v>0</v>
      </c>
      <c r="AJ286" s="14" t="n">
        <v>0</v>
      </c>
      <c r="AK286" s="14" t="n">
        <v>0</v>
      </c>
      <c r="AL286" s="14" t="n">
        <v>0</v>
      </c>
      <c r="AM286" s="14" t="n">
        <v>0</v>
      </c>
    </row>
    <row r="287" customFormat="false" ht="15" hidden="false" customHeight="false" outlineLevel="0" collapsed="false">
      <c r="A287" s="11" t="s">
        <v>444</v>
      </c>
      <c r="B287" s="11" t="s">
        <v>40</v>
      </c>
      <c r="C287" s="11" t="s">
        <v>66</v>
      </c>
      <c r="D287" s="11" t="s">
        <v>42</v>
      </c>
      <c r="E287" s="11" t="s">
        <v>118</v>
      </c>
      <c r="F287" s="11" t="s">
        <v>57</v>
      </c>
      <c r="G287" s="12" t="s">
        <v>73</v>
      </c>
      <c r="H287" s="11" t="s">
        <v>171</v>
      </c>
      <c r="I287" s="11" t="s">
        <v>46</v>
      </c>
      <c r="J287" s="11" t="s">
        <v>47</v>
      </c>
      <c r="K287" s="11" t="s">
        <v>59</v>
      </c>
      <c r="L287" s="11" t="s">
        <v>135</v>
      </c>
      <c r="M287" s="11" t="s">
        <v>60</v>
      </c>
      <c r="N287" s="11" t="s">
        <v>51</v>
      </c>
      <c r="O287" s="13" t="str">
        <f aca="false">IF(AND(R287&gt;600,Q287&gt;20000),"OBEDECE",IF(AND(R287&gt;300,Q287&gt;=10000,Q287&lt;=20000),"OBEDECE",IF(AND(R287&gt;150,Q287&gt;=5000,Q287&lt;=9999),"OBEDECE",IF(AND(R287&gt;60,Q287&gt;=2000,Q287&lt;=4999),"OBEDECE",IF(AND(R287&gt;30,Q287&gt;=1000,Q287&lt;=1999),"OBEDECE",IF(AND(R287&lt;=29,Q287&lt;=1000),"OBEDECE","NÃO OBEDECE"))))))</f>
        <v>NÃO OBEDECE</v>
      </c>
      <c r="P287" s="3" t="s">
        <v>52</v>
      </c>
      <c r="Q287" s="4" t="n">
        <v>48660</v>
      </c>
      <c r="R287" s="4" t="n">
        <v>116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14" t="n">
        <v>0</v>
      </c>
      <c r="AB287" s="14" t="n">
        <v>0</v>
      </c>
      <c r="AC287" s="14" t="n">
        <v>0</v>
      </c>
      <c r="AD287" s="14" t="n">
        <v>0</v>
      </c>
      <c r="AE287" s="14" t="n">
        <v>0</v>
      </c>
      <c r="AF287" s="14" t="n">
        <v>0</v>
      </c>
      <c r="AG287" s="14" t="n">
        <v>0</v>
      </c>
      <c r="AH287" s="14" t="n">
        <v>0</v>
      </c>
      <c r="AI287" s="14" t="n">
        <v>0</v>
      </c>
      <c r="AJ287" s="14" t="n">
        <v>0</v>
      </c>
      <c r="AK287" s="14" t="n">
        <v>0</v>
      </c>
      <c r="AL287" s="14" t="n">
        <v>1</v>
      </c>
      <c r="AM287" s="14" t="n">
        <v>0</v>
      </c>
    </row>
    <row r="288" customFormat="false" ht="15" hidden="false" customHeight="false" outlineLevel="0" collapsed="false">
      <c r="A288" s="11" t="s">
        <v>445</v>
      </c>
      <c r="B288" s="11" t="s">
        <v>54</v>
      </c>
      <c r="C288" s="11" t="s">
        <v>41</v>
      </c>
      <c r="D288" s="11" t="s">
        <v>42</v>
      </c>
      <c r="E288" s="11" t="s">
        <v>118</v>
      </c>
      <c r="F288" s="11" t="s">
        <v>57</v>
      </c>
      <c r="G288" s="12" t="s">
        <v>446</v>
      </c>
      <c r="H288" s="11" t="s">
        <v>171</v>
      </c>
      <c r="I288" s="11" t="s">
        <v>46</v>
      </c>
      <c r="J288" s="11" t="s">
        <v>47</v>
      </c>
      <c r="K288" s="11" t="s">
        <v>59</v>
      </c>
      <c r="L288" s="11" t="s">
        <v>135</v>
      </c>
      <c r="M288" s="11" t="s">
        <v>60</v>
      </c>
      <c r="N288" s="11" t="s">
        <v>51</v>
      </c>
      <c r="O288" s="13" t="str">
        <f aca="false">IF(AND(R288&gt;600,Q288&gt;20000),"OBEDECE",IF(AND(R288&gt;300,Q288&gt;=10000,Q288&lt;=20000),"OBEDECE",IF(AND(R288&gt;150,Q288&gt;=5000,Q288&lt;=9999),"OBEDECE",IF(AND(R288&gt;60,Q288&gt;=2000,Q288&lt;=4999),"OBEDECE",IF(AND(R288&gt;30,Q288&gt;=1000,Q288&lt;=1999),"OBEDECE",IF(AND(R288&lt;=29,Q288&lt;=1000),"OBEDECE","NÃO OBEDECE"))))))</f>
        <v>NÃO OBEDECE</v>
      </c>
      <c r="P288" s="3" t="s">
        <v>62</v>
      </c>
      <c r="Q288" s="4" t="n">
        <v>39574</v>
      </c>
      <c r="R288" s="4" t="n">
        <v>102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14" t="n">
        <v>0</v>
      </c>
      <c r="AB288" s="14" t="n">
        <v>0</v>
      </c>
      <c r="AC288" s="14" t="n">
        <v>0</v>
      </c>
      <c r="AD288" s="14" t="n">
        <v>0</v>
      </c>
      <c r="AE288" s="14" t="n">
        <v>0</v>
      </c>
      <c r="AF288" s="14" t="n">
        <v>0</v>
      </c>
      <c r="AG288" s="14" t="n">
        <v>0</v>
      </c>
      <c r="AH288" s="14" t="n">
        <v>0</v>
      </c>
      <c r="AI288" s="14" t="n">
        <v>0</v>
      </c>
      <c r="AJ288" s="14" t="n">
        <v>0</v>
      </c>
      <c r="AK288" s="14" t="n">
        <v>0</v>
      </c>
      <c r="AL288" s="14" t="n">
        <v>0</v>
      </c>
      <c r="AM288" s="14" t="n">
        <v>0</v>
      </c>
    </row>
    <row r="289" customFormat="false" ht="15" hidden="false" customHeight="false" outlineLevel="0" collapsed="false">
      <c r="A289" s="11" t="s">
        <v>447</v>
      </c>
      <c r="B289" s="11" t="s">
        <v>40</v>
      </c>
      <c r="C289" s="11" t="s">
        <v>66</v>
      </c>
      <c r="D289" s="11" t="s">
        <v>42</v>
      </c>
      <c r="E289" s="11" t="s">
        <v>118</v>
      </c>
      <c r="F289" s="11" t="s">
        <v>57</v>
      </c>
      <c r="G289" s="12" t="s">
        <v>448</v>
      </c>
      <c r="H289" s="11" t="s">
        <v>171</v>
      </c>
      <c r="I289" s="11" t="s">
        <v>46</v>
      </c>
      <c r="J289" s="11" t="s">
        <v>47</v>
      </c>
      <c r="K289" s="11" t="s">
        <v>59</v>
      </c>
      <c r="L289" s="11" t="s">
        <v>135</v>
      </c>
      <c r="M289" s="11" t="s">
        <v>60</v>
      </c>
      <c r="N289" s="11" t="s">
        <v>51</v>
      </c>
      <c r="O289" s="13" t="str">
        <f aca="false">IF(AND(R289&gt;600,Q289&gt;20000),"OBEDECE",IF(AND(R289&gt;300,Q289&gt;=10000,Q289&lt;=20000),"OBEDECE",IF(AND(R289&gt;150,Q289&gt;=5000,Q289&lt;=9999),"OBEDECE",IF(AND(R289&gt;60,Q289&gt;=2000,Q289&lt;=4999),"OBEDECE",IF(AND(R289&gt;30,Q289&gt;=1000,Q289&lt;=1999),"OBEDECE",IF(AND(R289&lt;=29,Q289&lt;=1000),"OBEDECE","NÃO OBEDECE"))))))</f>
        <v>NÃO OBEDECE</v>
      </c>
      <c r="P289" s="3" t="s">
        <v>52</v>
      </c>
      <c r="Q289" s="4" t="n">
        <v>39352</v>
      </c>
      <c r="R289" s="4" t="n">
        <v>160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14" t="n">
        <v>0</v>
      </c>
      <c r="AB289" s="14" t="n">
        <v>0</v>
      </c>
      <c r="AC289" s="14" t="n">
        <v>0</v>
      </c>
      <c r="AD289" s="14" t="n">
        <v>0</v>
      </c>
      <c r="AE289" s="14" t="n">
        <v>0</v>
      </c>
      <c r="AF289" s="14" t="n">
        <v>0</v>
      </c>
      <c r="AG289" s="14" t="n">
        <v>0</v>
      </c>
      <c r="AH289" s="14" t="n">
        <v>0</v>
      </c>
      <c r="AI289" s="14" t="n">
        <v>0</v>
      </c>
      <c r="AJ289" s="14" t="n">
        <v>0</v>
      </c>
      <c r="AK289" s="14" t="n">
        <v>1</v>
      </c>
      <c r="AL289" s="14" t="n">
        <v>0</v>
      </c>
      <c r="AM289" s="14" t="n">
        <v>0</v>
      </c>
    </row>
    <row r="290" customFormat="false" ht="15" hidden="false" customHeight="false" outlineLevel="0" collapsed="false">
      <c r="A290" s="11" t="s">
        <v>449</v>
      </c>
      <c r="B290" s="11" t="s">
        <v>40</v>
      </c>
      <c r="C290" s="11" t="s">
        <v>41</v>
      </c>
      <c r="D290" s="11" t="s">
        <v>42</v>
      </c>
      <c r="E290" s="11" t="s">
        <v>118</v>
      </c>
      <c r="F290" s="11" t="s">
        <v>57</v>
      </c>
      <c r="G290" s="12" t="s">
        <v>450</v>
      </c>
      <c r="H290" s="11" t="s">
        <v>171</v>
      </c>
      <c r="I290" s="11" t="s">
        <v>46</v>
      </c>
      <c r="J290" s="11" t="s">
        <v>47</v>
      </c>
      <c r="K290" s="11" t="s">
        <v>59</v>
      </c>
      <c r="L290" s="11" t="s">
        <v>135</v>
      </c>
      <c r="M290" s="11" t="s">
        <v>60</v>
      </c>
      <c r="N290" s="11" t="s">
        <v>51</v>
      </c>
      <c r="O290" s="13" t="str">
        <f aca="false">IF(AND(R290&gt;600,Q290&gt;20000),"OBEDECE",IF(AND(R290&gt;300,Q290&gt;=10000,Q290&lt;=20000),"OBEDECE",IF(AND(R290&gt;150,Q290&gt;=5000,Q290&lt;=9999),"OBEDECE",IF(AND(R290&gt;60,Q290&gt;=2000,Q290&lt;=4999),"OBEDECE",IF(AND(R290&gt;30,Q290&gt;=1000,Q290&lt;=1999),"OBEDECE",IF(AND(R290&lt;=29,Q290&lt;=1000),"OBEDECE","NÃO OBEDECE"))))))</f>
        <v>NÃO OBEDECE</v>
      </c>
      <c r="P290" s="3" t="s">
        <v>68</v>
      </c>
      <c r="Q290" s="4" t="n">
        <v>34503</v>
      </c>
      <c r="R290" s="4" t="n">
        <v>105</v>
      </c>
      <c r="S290" s="14" t="n">
        <v>0</v>
      </c>
      <c r="T290" s="14" t="n">
        <v>0</v>
      </c>
      <c r="U290" s="14" t="n">
        <v>0</v>
      </c>
      <c r="V290" s="14" t="n">
        <v>1</v>
      </c>
      <c r="W290" s="14" t="n">
        <v>0</v>
      </c>
      <c r="X290" s="14" t="n">
        <v>0</v>
      </c>
      <c r="Y290" s="14" t="n">
        <v>0</v>
      </c>
      <c r="Z290" s="14" t="n">
        <v>0</v>
      </c>
      <c r="AA290" s="14" t="n">
        <v>0</v>
      </c>
      <c r="AB290" s="14" t="n">
        <v>0</v>
      </c>
      <c r="AC290" s="14" t="n">
        <v>0</v>
      </c>
      <c r="AD290" s="14" t="n">
        <v>0</v>
      </c>
      <c r="AE290" s="14" t="n">
        <v>0</v>
      </c>
      <c r="AF290" s="14" t="n">
        <v>0</v>
      </c>
      <c r="AG290" s="14" t="n">
        <v>0</v>
      </c>
      <c r="AH290" s="14" t="n">
        <v>0</v>
      </c>
      <c r="AI290" s="14" t="n">
        <v>0</v>
      </c>
      <c r="AJ290" s="14" t="n">
        <v>0</v>
      </c>
      <c r="AK290" s="14" t="n">
        <v>0</v>
      </c>
      <c r="AL290" s="14" t="n">
        <v>0</v>
      </c>
      <c r="AM290" s="14" t="n">
        <v>0</v>
      </c>
    </row>
    <row r="291" customFormat="false" ht="15" hidden="false" customHeight="false" outlineLevel="0" collapsed="false">
      <c r="A291" s="11" t="s">
        <v>451</v>
      </c>
      <c r="B291" s="11" t="s">
        <v>40</v>
      </c>
      <c r="C291" s="11" t="s">
        <v>66</v>
      </c>
      <c r="D291" s="11" t="s">
        <v>42</v>
      </c>
      <c r="E291" s="11" t="s">
        <v>118</v>
      </c>
      <c r="F291" s="11" t="s">
        <v>57</v>
      </c>
      <c r="G291" s="15" t="s">
        <v>182</v>
      </c>
      <c r="H291" s="11" t="s">
        <v>171</v>
      </c>
      <c r="I291" s="11" t="s">
        <v>46</v>
      </c>
      <c r="J291" s="11" t="s">
        <v>47</v>
      </c>
      <c r="K291" s="11" t="s">
        <v>59</v>
      </c>
      <c r="L291" s="11" t="s">
        <v>135</v>
      </c>
      <c r="M291" s="11" t="s">
        <v>50</v>
      </c>
      <c r="N291" s="11" t="s">
        <v>51</v>
      </c>
      <c r="O291" s="13" t="str">
        <f aca="false">IF(AND(R291&gt;600,Q291&gt;20000),"OBEDECE",IF(AND(R291&gt;300,Q291&gt;=10000,Q291&lt;=20000),"OBEDECE",IF(AND(R291&gt;150,Q291&gt;=5000,Q291&lt;=9999),"OBEDECE",IF(AND(R291&gt;60,Q291&gt;=2000,Q291&lt;=4999),"OBEDECE",IF(AND(R291&gt;30,Q291&gt;=1000,Q291&lt;=1999),"OBEDECE",IF(AND(R291&lt;=29,Q291&lt;=1000),"OBEDECE","NÃO OBEDECE"))))))</f>
        <v>NÃO OBEDECE</v>
      </c>
      <c r="P291" s="3" t="s">
        <v>52</v>
      </c>
      <c r="Q291" s="4" t="n">
        <v>48162</v>
      </c>
      <c r="R291" s="4" t="n">
        <v>109</v>
      </c>
      <c r="S291" s="14" t="n">
        <v>0</v>
      </c>
      <c r="T291" s="14" t="n">
        <v>1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14" t="n">
        <v>0</v>
      </c>
      <c r="AB291" s="14" t="n">
        <v>1</v>
      </c>
      <c r="AC291" s="14" t="n">
        <v>0</v>
      </c>
      <c r="AD291" s="14" t="n">
        <v>0</v>
      </c>
      <c r="AE291" s="14" t="n">
        <v>0</v>
      </c>
      <c r="AF291" s="14" t="n">
        <v>0</v>
      </c>
      <c r="AG291" s="14" t="n">
        <v>0</v>
      </c>
      <c r="AH291" s="14" t="n">
        <v>0</v>
      </c>
      <c r="AI291" s="14" t="n">
        <v>0</v>
      </c>
      <c r="AJ291" s="14" t="n">
        <v>0</v>
      </c>
      <c r="AK291" s="14" t="n">
        <v>1</v>
      </c>
      <c r="AL291" s="14" t="n">
        <v>1</v>
      </c>
      <c r="AM291" s="14" t="n">
        <v>1</v>
      </c>
    </row>
    <row r="292" customFormat="false" ht="15" hidden="false" customHeight="false" outlineLevel="0" collapsed="false">
      <c r="A292" s="11" t="s">
        <v>452</v>
      </c>
      <c r="B292" s="11" t="s">
        <v>40</v>
      </c>
      <c r="C292" s="11" t="s">
        <v>66</v>
      </c>
      <c r="D292" s="11" t="s">
        <v>55</v>
      </c>
      <c r="E292" s="11" t="s">
        <v>118</v>
      </c>
      <c r="F292" s="11" t="s">
        <v>57</v>
      </c>
      <c r="G292" s="12" t="s">
        <v>453</v>
      </c>
      <c r="H292" s="11" t="s">
        <v>171</v>
      </c>
      <c r="I292" s="11" t="s">
        <v>46</v>
      </c>
      <c r="J292" s="11" t="s">
        <v>47</v>
      </c>
      <c r="K292" s="11" t="s">
        <v>59</v>
      </c>
      <c r="L292" s="11" t="s">
        <v>135</v>
      </c>
      <c r="M292" s="11" t="s">
        <v>60</v>
      </c>
      <c r="N292" s="11" t="s">
        <v>51</v>
      </c>
      <c r="O292" s="13" t="str">
        <f aca="false">IF(AND(R292&gt;600,Q292&gt;20000),"OBEDECE",IF(AND(R292&gt;300,Q292&gt;=10000,Q292&lt;=20000),"OBEDECE",IF(AND(R292&gt;150,Q292&gt;=5000,Q292&lt;=9999),"OBEDECE",IF(AND(R292&gt;60,Q292&gt;=2000,Q292&lt;=4999),"OBEDECE",IF(AND(R292&gt;30,Q292&gt;=1000,Q292&lt;=1999),"OBEDECE",IF(AND(R292&lt;=29,Q292&lt;=1000),"OBEDECE","NÃO OBEDECE"))))))</f>
        <v>NÃO OBEDECE</v>
      </c>
      <c r="P292" s="3" t="s">
        <v>68</v>
      </c>
      <c r="Q292" s="4" t="n">
        <v>48800</v>
      </c>
      <c r="R292" s="4" t="n">
        <v>144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3</v>
      </c>
      <c r="Y292" s="14" t="n">
        <v>0</v>
      </c>
      <c r="Z292" s="14" t="n">
        <v>0</v>
      </c>
      <c r="AA292" s="14" t="n">
        <v>0</v>
      </c>
      <c r="AB292" s="14" t="n">
        <v>0</v>
      </c>
      <c r="AC292" s="14" t="n">
        <v>0</v>
      </c>
      <c r="AD292" s="14" t="n">
        <v>0</v>
      </c>
      <c r="AE292" s="14" t="n">
        <v>0</v>
      </c>
      <c r="AF292" s="14" t="n">
        <v>0</v>
      </c>
      <c r="AG292" s="14" t="n">
        <v>0</v>
      </c>
      <c r="AH292" s="14" t="n">
        <v>0</v>
      </c>
      <c r="AI292" s="14" t="n">
        <v>0</v>
      </c>
      <c r="AJ292" s="14" t="n">
        <v>0</v>
      </c>
      <c r="AK292" s="14" t="n">
        <v>0</v>
      </c>
      <c r="AL292" s="14" t="n">
        <v>0</v>
      </c>
      <c r="AM292" s="14" t="n">
        <v>0</v>
      </c>
    </row>
    <row r="293" customFormat="false" ht="15" hidden="false" customHeight="false" outlineLevel="0" collapsed="false">
      <c r="A293" s="11" t="s">
        <v>454</v>
      </c>
      <c r="B293" s="11" t="s">
        <v>54</v>
      </c>
      <c r="C293" s="11" t="s">
        <v>41</v>
      </c>
      <c r="D293" s="11" t="s">
        <v>55</v>
      </c>
      <c r="E293" s="11" t="s">
        <v>56</v>
      </c>
      <c r="F293" s="11" t="s">
        <v>57</v>
      </c>
      <c r="G293" s="12" t="s">
        <v>116</v>
      </c>
      <c r="H293" s="11" t="s">
        <v>171</v>
      </c>
      <c r="I293" s="11" t="s">
        <v>47</v>
      </c>
      <c r="J293" s="11" t="s">
        <v>47</v>
      </c>
      <c r="K293" s="11" t="s">
        <v>48</v>
      </c>
      <c r="L293" s="11" t="s">
        <v>135</v>
      </c>
      <c r="M293" s="11" t="s">
        <v>60</v>
      </c>
      <c r="N293" s="11" t="s">
        <v>51</v>
      </c>
      <c r="O293" s="13" t="str">
        <f aca="false">IF(AND(R293&gt;600,Q293&gt;20000),"OBEDECE",IF(AND(R293&gt;300,Q293&gt;=10000,Q293&lt;=20000),"OBEDECE",IF(AND(R293&gt;150,Q293&gt;=5000,Q293&lt;=9999),"OBEDECE",IF(AND(R293&gt;60,Q293&gt;=2000,Q293&lt;=4999),"OBEDECE",IF(AND(R293&gt;30,Q293&gt;=1000,Q293&lt;=1999),"OBEDECE",IF(AND(R293&lt;=29,Q293&lt;=1000),"OBEDECE","NÃO OBEDECE"))))))</f>
        <v>NÃO OBEDECE</v>
      </c>
      <c r="P293" s="3" t="s">
        <v>62</v>
      </c>
      <c r="Q293" s="4" t="n">
        <v>24792</v>
      </c>
      <c r="R293" s="4" t="n">
        <v>97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14" t="n">
        <v>0</v>
      </c>
      <c r="AB293" s="14" t="n">
        <v>0</v>
      </c>
      <c r="AC293" s="14" t="n">
        <v>0</v>
      </c>
      <c r="AD293" s="14" t="n">
        <v>0</v>
      </c>
      <c r="AE293" s="14" t="n">
        <v>0</v>
      </c>
      <c r="AF293" s="14" t="n">
        <v>0</v>
      </c>
      <c r="AG293" s="14" t="n">
        <v>0</v>
      </c>
      <c r="AH293" s="14" t="n">
        <v>0</v>
      </c>
      <c r="AI293" s="14" t="n">
        <v>0</v>
      </c>
      <c r="AJ293" s="14" t="n">
        <v>0</v>
      </c>
      <c r="AK293" s="14" t="n">
        <v>0</v>
      </c>
      <c r="AL293" s="14" t="n">
        <v>0</v>
      </c>
      <c r="AM293" s="14" t="n">
        <v>0</v>
      </c>
    </row>
    <row r="294" customFormat="false" ht="15" hidden="false" customHeight="false" outlineLevel="0" collapsed="false">
      <c r="A294" s="11" t="s">
        <v>455</v>
      </c>
      <c r="B294" s="11" t="s">
        <v>54</v>
      </c>
      <c r="C294" s="11" t="s">
        <v>66</v>
      </c>
      <c r="D294" s="11" t="s">
        <v>55</v>
      </c>
      <c r="E294" s="11" t="s">
        <v>118</v>
      </c>
      <c r="F294" s="11" t="s">
        <v>57</v>
      </c>
      <c r="G294" s="15" t="s">
        <v>368</v>
      </c>
      <c r="H294" s="11" t="s">
        <v>171</v>
      </c>
      <c r="I294" s="11" t="s">
        <v>46</v>
      </c>
      <c r="J294" s="11" t="s">
        <v>47</v>
      </c>
      <c r="K294" s="11" t="s">
        <v>48</v>
      </c>
      <c r="L294" s="11" t="s">
        <v>135</v>
      </c>
      <c r="M294" s="11" t="s">
        <v>60</v>
      </c>
      <c r="N294" s="11" t="s">
        <v>51</v>
      </c>
      <c r="O294" s="13" t="str">
        <f aca="false">IF(AND(R294&gt;600,Q294&gt;20000),"OBEDECE",IF(AND(R294&gt;300,Q294&gt;=10000,Q294&lt;=20000),"OBEDECE",IF(AND(R294&gt;150,Q294&gt;=5000,Q294&lt;=9999),"OBEDECE",IF(AND(R294&gt;60,Q294&gt;=2000,Q294&lt;=4999),"OBEDECE",IF(AND(R294&gt;30,Q294&gt;=1000,Q294&lt;=1999),"OBEDECE",IF(AND(R294&lt;=29,Q294&lt;=1000),"OBEDECE","NÃO OBEDECE"))))))</f>
        <v>NÃO OBEDECE</v>
      </c>
      <c r="P294" s="3" t="s">
        <v>68</v>
      </c>
      <c r="Q294" s="4" t="n">
        <v>23302</v>
      </c>
      <c r="R294" s="4" t="n">
        <v>97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14" t="n">
        <v>0</v>
      </c>
      <c r="AB294" s="14" t="n">
        <v>1</v>
      </c>
      <c r="AC294" s="14" t="n">
        <v>0</v>
      </c>
      <c r="AD294" s="14" t="n">
        <v>0</v>
      </c>
      <c r="AE294" s="14" t="n">
        <v>0</v>
      </c>
      <c r="AF294" s="14" t="n">
        <v>0</v>
      </c>
      <c r="AG294" s="14" t="n">
        <v>0</v>
      </c>
      <c r="AH294" s="14" t="n">
        <v>0</v>
      </c>
      <c r="AI294" s="14" t="n">
        <v>0</v>
      </c>
      <c r="AJ294" s="14" t="n">
        <v>0</v>
      </c>
      <c r="AK294" s="14" t="n">
        <v>0</v>
      </c>
      <c r="AL294" s="14" t="n">
        <v>0</v>
      </c>
      <c r="AM294" s="14" t="n">
        <v>0</v>
      </c>
    </row>
    <row r="295" customFormat="false" ht="15" hidden="false" customHeight="false" outlineLevel="0" collapsed="false">
      <c r="A295" s="10" t="s">
        <v>456</v>
      </c>
      <c r="B295" s="11" t="s">
        <v>40</v>
      </c>
      <c r="C295" s="11" t="s">
        <v>66</v>
      </c>
      <c r="D295" s="11" t="s">
        <v>42</v>
      </c>
      <c r="E295" s="11" t="s">
        <v>118</v>
      </c>
      <c r="F295" s="11" t="s">
        <v>57</v>
      </c>
      <c r="G295" s="12" t="s">
        <v>64</v>
      </c>
      <c r="H295" s="11" t="s">
        <v>171</v>
      </c>
      <c r="I295" s="11" t="s">
        <v>46</v>
      </c>
      <c r="J295" s="11" t="s">
        <v>171</v>
      </c>
      <c r="K295" s="11" t="s">
        <v>48</v>
      </c>
      <c r="L295" s="11" t="s">
        <v>135</v>
      </c>
      <c r="M295" s="11" t="s">
        <v>60</v>
      </c>
      <c r="N295" s="11" t="s">
        <v>51</v>
      </c>
      <c r="O295" s="13" t="str">
        <f aca="false">IF(AND(R295&gt;600,Q295&gt;20000),"OBEDECE",IF(AND(R295&gt;300,Q295&gt;=10000,Q295&lt;=20000),"OBEDECE",IF(AND(R295&gt;150,Q295&gt;=5000,Q295&lt;=9999),"OBEDECE",IF(AND(R295&gt;60,Q295&gt;=2000,Q295&lt;=4999),"OBEDECE",IF(AND(R295&gt;30,Q295&gt;=1000,Q295&lt;=1999),"OBEDECE",IF(AND(R295&lt;=29,Q295&lt;=1000),"OBEDECE","NÃO OBEDECE"))))))</f>
        <v>NÃO OBEDECE</v>
      </c>
      <c r="P295" s="3" t="s">
        <v>52</v>
      </c>
      <c r="Q295" s="4" t="n">
        <v>46456</v>
      </c>
      <c r="R295" s="4" t="n">
        <v>185</v>
      </c>
      <c r="S295" s="14" t="n">
        <v>0</v>
      </c>
      <c r="T295" s="14" t="n">
        <v>0</v>
      </c>
      <c r="U295" s="14" t="n">
        <v>0</v>
      </c>
      <c r="V295" s="14" t="n">
        <v>1</v>
      </c>
      <c r="W295" s="14" t="n">
        <v>0</v>
      </c>
      <c r="X295" s="14" t="n">
        <v>2</v>
      </c>
      <c r="Y295" s="14" t="n">
        <v>0</v>
      </c>
      <c r="Z295" s="14" t="n">
        <v>0</v>
      </c>
      <c r="AA295" s="14" t="n">
        <v>0</v>
      </c>
      <c r="AB295" s="14" t="n">
        <v>0</v>
      </c>
      <c r="AC295" s="14" t="n">
        <v>0</v>
      </c>
      <c r="AD295" s="14" t="n">
        <v>0</v>
      </c>
      <c r="AE295" s="14" t="n">
        <v>0</v>
      </c>
      <c r="AF295" s="14" t="n">
        <v>0</v>
      </c>
      <c r="AG295" s="14" t="n">
        <v>0</v>
      </c>
      <c r="AH295" s="14" t="n">
        <v>0</v>
      </c>
      <c r="AI295" s="14" t="n">
        <v>0</v>
      </c>
      <c r="AJ295" s="14" t="n">
        <v>0</v>
      </c>
      <c r="AK295" s="14" t="n">
        <v>1</v>
      </c>
      <c r="AL295" s="14" t="n">
        <v>0</v>
      </c>
      <c r="AM295" s="14" t="n">
        <v>0</v>
      </c>
    </row>
    <row r="296" customFormat="false" ht="15" hidden="false" customHeight="false" outlineLevel="0" collapsed="false">
      <c r="A296" s="11" t="s">
        <v>457</v>
      </c>
      <c r="B296" s="11" t="s">
        <v>54</v>
      </c>
      <c r="C296" s="11" t="s">
        <v>41</v>
      </c>
      <c r="D296" s="11" t="s">
        <v>42</v>
      </c>
      <c r="E296" s="11" t="s">
        <v>118</v>
      </c>
      <c r="F296" s="11" t="s">
        <v>57</v>
      </c>
      <c r="G296" s="12" t="s">
        <v>458</v>
      </c>
      <c r="H296" s="11" t="s">
        <v>171</v>
      </c>
      <c r="I296" s="11" t="s">
        <v>46</v>
      </c>
      <c r="J296" s="11" t="s">
        <v>47</v>
      </c>
      <c r="K296" s="11" t="s">
        <v>48</v>
      </c>
      <c r="L296" s="11" t="s">
        <v>74</v>
      </c>
      <c r="M296" s="11" t="s">
        <v>60</v>
      </c>
      <c r="N296" s="11" t="s">
        <v>51</v>
      </c>
      <c r="O296" s="13" t="str">
        <f aca="false">IF(AND(R296&gt;600,Q296&gt;20000),"OBEDECE",IF(AND(R296&gt;300,Q296&gt;=10000,Q296&lt;=20000),"OBEDECE",IF(AND(R296&gt;150,Q296&gt;=5000,Q296&lt;=9999),"OBEDECE",IF(AND(R296&gt;60,Q296&gt;=2000,Q296&lt;=4999),"OBEDECE",IF(AND(R296&gt;30,Q296&gt;=1000,Q296&lt;=1999),"OBEDECE",IF(AND(R296&lt;=29,Q296&lt;=1000),"OBEDECE","NÃO OBEDECE"))))))</f>
        <v>NÃO OBEDECE</v>
      </c>
      <c r="P296" s="3" t="s">
        <v>52</v>
      </c>
      <c r="Q296" s="4" t="n">
        <v>24821</v>
      </c>
      <c r="R296" s="4" t="n">
        <v>103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14" t="n">
        <v>0</v>
      </c>
      <c r="AB296" s="14" t="n">
        <v>0</v>
      </c>
      <c r="AC296" s="14" t="n">
        <v>0</v>
      </c>
      <c r="AD296" s="14" t="n">
        <v>0</v>
      </c>
      <c r="AE296" s="14" t="n">
        <v>0</v>
      </c>
      <c r="AF296" s="14" t="n">
        <v>0</v>
      </c>
      <c r="AG296" s="14" t="n">
        <v>0</v>
      </c>
      <c r="AH296" s="14" t="n">
        <v>1</v>
      </c>
      <c r="AI296" s="14" t="n">
        <v>0</v>
      </c>
      <c r="AJ296" s="14" t="n">
        <v>0</v>
      </c>
      <c r="AK296" s="14" t="n">
        <v>0</v>
      </c>
      <c r="AL296" s="14" t="n">
        <v>0</v>
      </c>
      <c r="AM296" s="14" t="n">
        <v>0</v>
      </c>
    </row>
    <row r="297" customFormat="false" ht="15" hidden="false" customHeight="false" outlineLevel="0" collapsed="false">
      <c r="A297" s="11" t="s">
        <v>459</v>
      </c>
      <c r="B297" s="11" t="s">
        <v>54</v>
      </c>
      <c r="C297" s="11" t="s">
        <v>41</v>
      </c>
      <c r="D297" s="11" t="s">
        <v>55</v>
      </c>
      <c r="E297" s="11" t="s">
        <v>118</v>
      </c>
      <c r="F297" s="11" t="s">
        <v>57</v>
      </c>
      <c r="G297" s="12" t="s">
        <v>122</v>
      </c>
      <c r="H297" s="11" t="s">
        <v>171</v>
      </c>
      <c r="I297" s="11" t="s">
        <v>46</v>
      </c>
      <c r="J297" s="11" t="s">
        <v>47</v>
      </c>
      <c r="K297" s="11" t="s">
        <v>48</v>
      </c>
      <c r="L297" s="11" t="s">
        <v>135</v>
      </c>
      <c r="M297" s="11" t="s">
        <v>60</v>
      </c>
      <c r="N297" s="11" t="s">
        <v>61</v>
      </c>
      <c r="O297" s="13" t="str">
        <f aca="false">IF(AND(R297&gt;600,Q297&gt;20000),"OBEDECE",IF(AND(R297&gt;300,Q297&gt;=10000,Q297&lt;=20000),"OBEDECE",IF(AND(R297&gt;150,Q297&gt;=5000,Q297&lt;=9999),"OBEDECE",IF(AND(R297&gt;60,Q297&gt;=2000,Q297&lt;=4999),"OBEDECE",IF(AND(R297&gt;30,Q297&gt;=1000,Q297&lt;=1999),"OBEDECE",IF(AND(R297&lt;=29,Q297&lt;=1000),"OBEDECE","NÃO OBEDECE"))))))</f>
        <v>NÃO OBEDECE</v>
      </c>
      <c r="P297" s="3" t="s">
        <v>62</v>
      </c>
      <c r="Q297" s="4" t="n">
        <v>14128</v>
      </c>
      <c r="R297" s="4" t="n">
        <v>105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14" t="n">
        <v>0</v>
      </c>
      <c r="AB297" s="14" t="n">
        <v>0</v>
      </c>
      <c r="AC297" s="14" t="n">
        <v>0</v>
      </c>
      <c r="AD297" s="14" t="n">
        <v>0</v>
      </c>
      <c r="AE297" s="14" t="n">
        <v>0</v>
      </c>
      <c r="AF297" s="14" t="n">
        <v>0</v>
      </c>
      <c r="AG297" s="14" t="n">
        <v>0</v>
      </c>
      <c r="AH297" s="14" t="n">
        <v>0</v>
      </c>
      <c r="AI297" s="14" t="n">
        <v>0</v>
      </c>
      <c r="AJ297" s="14" t="n">
        <v>0</v>
      </c>
      <c r="AK297" s="14" t="n">
        <v>0</v>
      </c>
      <c r="AL297" s="14" t="n">
        <v>0</v>
      </c>
      <c r="AM297" s="14" t="n">
        <v>0</v>
      </c>
    </row>
    <row r="298" customFormat="false" ht="15" hidden="false" customHeight="false" outlineLevel="0" collapsed="false">
      <c r="A298" s="11" t="s">
        <v>460</v>
      </c>
      <c r="B298" s="11" t="s">
        <v>54</v>
      </c>
      <c r="C298" s="11" t="s">
        <v>41</v>
      </c>
      <c r="D298" s="11" t="s">
        <v>55</v>
      </c>
      <c r="E298" s="11" t="s">
        <v>118</v>
      </c>
      <c r="F298" s="11" t="s">
        <v>57</v>
      </c>
      <c r="G298" s="12" t="s">
        <v>276</v>
      </c>
      <c r="H298" s="11" t="s">
        <v>171</v>
      </c>
      <c r="I298" s="11" t="s">
        <v>46</v>
      </c>
      <c r="J298" s="11" t="s">
        <v>47</v>
      </c>
      <c r="K298" s="11" t="s">
        <v>48</v>
      </c>
      <c r="L298" s="11" t="s">
        <v>74</v>
      </c>
      <c r="M298" s="11" t="s">
        <v>60</v>
      </c>
      <c r="N298" s="11" t="s">
        <v>51</v>
      </c>
      <c r="O298" s="13" t="str">
        <f aca="false">IF(AND(R298&gt;600,Q298&gt;20000),"OBEDECE",IF(AND(R298&gt;300,Q298&gt;=10000,Q298&lt;=20000),"OBEDECE",IF(AND(R298&gt;150,Q298&gt;=5000,Q298&lt;=9999),"OBEDECE",IF(AND(R298&gt;60,Q298&gt;=2000,Q298&lt;=4999),"OBEDECE",IF(AND(R298&gt;30,Q298&gt;=1000,Q298&lt;=1999),"OBEDECE",IF(AND(R298&lt;=29,Q298&lt;=1000),"OBEDECE","NÃO OBEDECE"))))))</f>
        <v>NÃO OBEDECE</v>
      </c>
      <c r="P298" s="3" t="s">
        <v>52</v>
      </c>
      <c r="Q298" s="4" t="n">
        <v>27626</v>
      </c>
      <c r="R298" s="4" t="n">
        <v>103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14" t="n">
        <v>0</v>
      </c>
      <c r="AB298" s="14" t="n">
        <v>0</v>
      </c>
      <c r="AC298" s="14" t="n">
        <v>0</v>
      </c>
      <c r="AD298" s="14" t="n">
        <v>0</v>
      </c>
      <c r="AE298" s="14" t="n">
        <v>0</v>
      </c>
      <c r="AF298" s="14" t="n">
        <v>0</v>
      </c>
      <c r="AG298" s="14" t="n">
        <v>0</v>
      </c>
      <c r="AH298" s="14" t="n">
        <v>0</v>
      </c>
      <c r="AI298" s="14" t="n">
        <v>0</v>
      </c>
      <c r="AJ298" s="14" t="n">
        <v>0</v>
      </c>
      <c r="AK298" s="14" t="n">
        <v>0</v>
      </c>
      <c r="AL298" s="14" t="n">
        <v>0</v>
      </c>
      <c r="AM298" s="14" t="n">
        <v>1</v>
      </c>
    </row>
    <row r="299" customFormat="false" ht="15" hidden="true" customHeight="false" outlineLevel="0" collapsed="false">
      <c r="A299" s="11" t="s">
        <v>461</v>
      </c>
      <c r="B299" s="11" t="s">
        <v>54</v>
      </c>
      <c r="C299" s="11" t="s">
        <v>41</v>
      </c>
      <c r="D299" s="11" t="s">
        <v>55</v>
      </c>
      <c r="E299" s="11" t="s">
        <v>43</v>
      </c>
      <c r="F299" s="11" t="s">
        <v>44</v>
      </c>
      <c r="G299" s="12"/>
      <c r="H299" s="11" t="s">
        <v>171</v>
      </c>
      <c r="I299" s="11" t="s">
        <v>47</v>
      </c>
      <c r="J299" s="11" t="s">
        <v>47</v>
      </c>
      <c r="K299" s="11" t="s">
        <v>48</v>
      </c>
      <c r="L299" s="11" t="s">
        <v>74</v>
      </c>
      <c r="M299" s="11" t="s">
        <v>60</v>
      </c>
      <c r="N299" s="11" t="s">
        <v>123</v>
      </c>
      <c r="O299" s="13" t="str">
        <f aca="false">IF(AND(R299&gt;600,Q299&gt;20000),"OBEDECE",IF(AND(R299&gt;300,Q299&gt;=10000,Q299&lt;=20000),"OBEDECE",IF(AND(R299&gt;150,Q299&gt;=5000,Q299&lt;=9999),"OBEDECE",IF(AND(R299&gt;60,Q299&gt;=2000,Q299&lt;=4999),"OBEDECE",IF(AND(R299&gt;30,Q299&gt;=1000,Q299&lt;=1999),"OBEDECE",IF(AND(R299&lt;=29,Q299&lt;=1000),"OBEDECE","NÃO OBEDECE"))))))</f>
        <v>NÃO OBEDECE</v>
      </c>
      <c r="P299" s="3" t="s">
        <v>62</v>
      </c>
      <c r="Q299" s="4" t="n">
        <v>2738</v>
      </c>
      <c r="R299" s="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>0</v>
      </c>
      <c r="AB299" s="14" t="n">
        <v>0</v>
      </c>
      <c r="AC299" s="14" t="n">
        <v>0</v>
      </c>
      <c r="AD299" s="14" t="n">
        <v>0</v>
      </c>
      <c r="AE299" s="14" t="n">
        <v>0</v>
      </c>
      <c r="AF299" s="14" t="n">
        <v>0</v>
      </c>
      <c r="AG299" s="14" t="n">
        <v>0</v>
      </c>
      <c r="AH299" s="14" t="n">
        <v>0</v>
      </c>
      <c r="AI299" s="14" t="n">
        <v>0</v>
      </c>
      <c r="AJ299" s="14" t="n">
        <v>0</v>
      </c>
      <c r="AK299" s="14" t="n">
        <v>0</v>
      </c>
      <c r="AL299" s="14" t="n">
        <v>0</v>
      </c>
      <c r="AM299" s="14" t="n">
        <v>0</v>
      </c>
    </row>
    <row r="300" customFormat="false" ht="15" hidden="false" customHeight="false" outlineLevel="0" collapsed="false">
      <c r="A300" s="10" t="s">
        <v>462</v>
      </c>
      <c r="B300" s="11" t="s">
        <v>54</v>
      </c>
      <c r="C300" s="11" t="s">
        <v>41</v>
      </c>
      <c r="D300" s="11" t="s">
        <v>42</v>
      </c>
      <c r="E300" s="11" t="s">
        <v>118</v>
      </c>
      <c r="F300" s="11" t="s">
        <v>57</v>
      </c>
      <c r="G300" s="12" t="s">
        <v>64</v>
      </c>
      <c r="H300" s="11" t="s">
        <v>171</v>
      </c>
      <c r="I300" s="11" t="s">
        <v>46</v>
      </c>
      <c r="J300" s="11" t="s">
        <v>171</v>
      </c>
      <c r="K300" s="11" t="s">
        <v>48</v>
      </c>
      <c r="L300" s="11" t="s">
        <v>74</v>
      </c>
      <c r="M300" s="11" t="s">
        <v>60</v>
      </c>
      <c r="N300" s="11" t="s">
        <v>51</v>
      </c>
      <c r="O300" s="13" t="str">
        <f aca="false">IF(AND(R300&gt;600,Q300&gt;20000),"OBEDECE",IF(AND(R300&gt;300,Q300&gt;=10000,Q300&lt;=20000),"OBEDECE",IF(AND(R300&gt;150,Q300&gt;=5000,Q300&lt;=9999),"OBEDECE",IF(AND(R300&gt;60,Q300&gt;=2000,Q300&lt;=4999),"OBEDECE",IF(AND(R300&gt;30,Q300&gt;=1000,Q300&lt;=1999),"OBEDECE",IF(AND(R300&lt;=29,Q300&lt;=1000),"OBEDECE","NÃO OBEDECE"))))))</f>
        <v>NÃO OBEDECE</v>
      </c>
      <c r="P300" s="3" t="s">
        <v>62</v>
      </c>
      <c r="Q300" s="4" t="n">
        <v>42387</v>
      </c>
      <c r="R300" s="4" t="n">
        <v>161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0</v>
      </c>
      <c r="AB300" s="14" t="n">
        <v>0</v>
      </c>
      <c r="AC300" s="14" t="n">
        <v>0</v>
      </c>
      <c r="AD300" s="14" t="n">
        <v>0</v>
      </c>
      <c r="AE300" s="14" t="n">
        <v>0</v>
      </c>
      <c r="AF300" s="14" t="n">
        <v>0</v>
      </c>
      <c r="AG300" s="14" t="n">
        <v>0</v>
      </c>
      <c r="AH300" s="14" t="n">
        <v>0</v>
      </c>
      <c r="AI300" s="14" t="n">
        <v>0</v>
      </c>
      <c r="AJ300" s="14" t="n">
        <v>0</v>
      </c>
      <c r="AK300" s="14" t="n">
        <v>0</v>
      </c>
      <c r="AL300" s="14" t="n">
        <v>0</v>
      </c>
      <c r="AM300" s="14" t="n">
        <v>0</v>
      </c>
    </row>
    <row r="301" customFormat="false" ht="15" hidden="false" customHeight="false" outlineLevel="0" collapsed="false">
      <c r="A301" s="11" t="s">
        <v>463</v>
      </c>
      <c r="B301" s="11" t="s">
        <v>54</v>
      </c>
      <c r="C301" s="11" t="s">
        <v>66</v>
      </c>
      <c r="D301" s="11" t="s">
        <v>55</v>
      </c>
      <c r="E301" s="11" t="s">
        <v>118</v>
      </c>
      <c r="F301" s="11" t="s">
        <v>57</v>
      </c>
      <c r="G301" s="15" t="s">
        <v>221</v>
      </c>
      <c r="H301" s="11" t="s">
        <v>171</v>
      </c>
      <c r="I301" s="11" t="s">
        <v>46</v>
      </c>
      <c r="J301" s="11" t="s">
        <v>47</v>
      </c>
      <c r="K301" s="11" t="s">
        <v>48</v>
      </c>
      <c r="L301" s="11" t="s">
        <v>74</v>
      </c>
      <c r="M301" s="11" t="s">
        <v>50</v>
      </c>
      <c r="N301" s="11" t="s">
        <v>123</v>
      </c>
      <c r="O301" s="13" t="str">
        <f aca="false">IF(AND(R301&gt;600,Q301&gt;20000),"OBEDECE",IF(AND(R301&gt;300,Q301&gt;=10000,Q301&lt;=20000),"OBEDECE",IF(AND(R301&gt;150,Q301&gt;=5000,Q301&lt;=9999),"OBEDECE",IF(AND(R301&gt;60,Q301&gt;=2000,Q301&lt;=4999),"OBEDECE",IF(AND(R301&gt;30,Q301&gt;=1000,Q301&lt;=1999),"OBEDECE",IF(AND(R301&lt;=29,Q301&lt;=1000),"OBEDECE","NÃO OBEDECE"))))))</f>
        <v>OBEDECE</v>
      </c>
      <c r="P301" s="3" t="s">
        <v>62</v>
      </c>
      <c r="Q301" s="4" t="n">
        <v>4313</v>
      </c>
      <c r="R301" s="4" t="n">
        <v>122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14" t="n">
        <v>0</v>
      </c>
      <c r="AB301" s="14" t="n">
        <v>0</v>
      </c>
      <c r="AC301" s="14" t="n">
        <v>0</v>
      </c>
      <c r="AD301" s="14" t="n">
        <v>0</v>
      </c>
      <c r="AE301" s="14" t="n">
        <v>0</v>
      </c>
      <c r="AF301" s="14" t="n">
        <v>0</v>
      </c>
      <c r="AG301" s="14" t="n">
        <v>0</v>
      </c>
      <c r="AH301" s="14" t="n">
        <v>0</v>
      </c>
      <c r="AI301" s="14" t="n">
        <v>0</v>
      </c>
      <c r="AJ301" s="14" t="n">
        <v>0</v>
      </c>
      <c r="AK301" s="14" t="n">
        <v>0</v>
      </c>
      <c r="AL301" s="14" t="n">
        <v>0</v>
      </c>
      <c r="AM301" s="14" t="n">
        <v>0</v>
      </c>
    </row>
    <row r="302" customFormat="false" ht="15" hidden="false" customHeight="false" outlineLevel="0" collapsed="false">
      <c r="A302" s="11" t="s">
        <v>464</v>
      </c>
      <c r="B302" s="11" t="s">
        <v>40</v>
      </c>
      <c r="C302" s="11" t="s">
        <v>41</v>
      </c>
      <c r="D302" s="11" t="s">
        <v>42</v>
      </c>
      <c r="E302" s="11" t="s">
        <v>118</v>
      </c>
      <c r="F302" s="11" t="s">
        <v>57</v>
      </c>
      <c r="G302" s="12" t="s">
        <v>175</v>
      </c>
      <c r="H302" s="11" t="s">
        <v>171</v>
      </c>
      <c r="I302" s="11" t="s">
        <v>46</v>
      </c>
      <c r="J302" s="11" t="s">
        <v>47</v>
      </c>
      <c r="K302" s="11" t="s">
        <v>48</v>
      </c>
      <c r="L302" s="11" t="s">
        <v>49</v>
      </c>
      <c r="M302" s="11" t="s">
        <v>60</v>
      </c>
      <c r="N302" s="11" t="s">
        <v>51</v>
      </c>
      <c r="O302" s="13" t="str">
        <f aca="false">IF(AND(R302&gt;600,Q302&gt;20000),"OBEDECE",IF(AND(R302&gt;300,Q302&gt;=10000,Q302&lt;=20000),"OBEDECE",IF(AND(R302&gt;150,Q302&gt;=5000,Q302&lt;=9999),"OBEDECE",IF(AND(R302&gt;60,Q302&gt;=2000,Q302&lt;=4999),"OBEDECE",IF(AND(R302&gt;30,Q302&gt;=1000,Q302&lt;=1999),"OBEDECE",IF(AND(R302&lt;=29,Q302&lt;=1000),"OBEDECE","NÃO OBEDECE"))))))</f>
        <v>NÃO OBEDECE</v>
      </c>
      <c r="P302" s="3" t="s">
        <v>52</v>
      </c>
      <c r="Q302" s="4" t="n">
        <v>48085</v>
      </c>
      <c r="R302" s="4" t="n">
        <v>158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14" t="n">
        <v>0</v>
      </c>
      <c r="AB302" s="14" t="n">
        <v>0</v>
      </c>
      <c r="AC302" s="14" t="n">
        <v>0</v>
      </c>
      <c r="AD302" s="14" t="n">
        <v>0</v>
      </c>
      <c r="AE302" s="14" t="n">
        <v>0</v>
      </c>
      <c r="AF302" s="14" t="n">
        <v>0</v>
      </c>
      <c r="AG302" s="14" t="n">
        <v>0</v>
      </c>
      <c r="AH302" s="14" t="n">
        <v>0</v>
      </c>
      <c r="AI302" s="14" t="n">
        <v>0</v>
      </c>
      <c r="AJ302" s="14" t="n">
        <v>0</v>
      </c>
      <c r="AK302" s="14" t="n">
        <v>1</v>
      </c>
      <c r="AL302" s="14" t="n">
        <v>0</v>
      </c>
      <c r="AM302" s="14" t="n">
        <v>0</v>
      </c>
    </row>
    <row r="303" customFormat="false" ht="15" hidden="false" customHeight="false" outlineLevel="0" collapsed="false">
      <c r="A303" s="11" t="s">
        <v>465</v>
      </c>
      <c r="B303" s="11" t="s">
        <v>54</v>
      </c>
      <c r="C303" s="11" t="s">
        <v>66</v>
      </c>
      <c r="D303" s="11" t="s">
        <v>55</v>
      </c>
      <c r="E303" s="11" t="s">
        <v>118</v>
      </c>
      <c r="F303" s="11" t="s">
        <v>57</v>
      </c>
      <c r="G303" s="12" t="s">
        <v>99</v>
      </c>
      <c r="H303" s="11" t="s">
        <v>171</v>
      </c>
      <c r="I303" s="11" t="s">
        <v>46</v>
      </c>
      <c r="J303" s="11" t="s">
        <v>47</v>
      </c>
      <c r="K303" s="11" t="s">
        <v>59</v>
      </c>
      <c r="L303" s="11" t="s">
        <v>74</v>
      </c>
      <c r="M303" s="11" t="s">
        <v>60</v>
      </c>
      <c r="N303" s="11" t="s">
        <v>51</v>
      </c>
      <c r="O303" s="13" t="str">
        <f aca="false">IF(AND(R303&gt;600,Q303&gt;20000),"OBEDECE",IF(AND(R303&gt;300,Q303&gt;=10000,Q303&lt;=20000),"OBEDECE",IF(AND(R303&gt;150,Q303&gt;=5000,Q303&lt;=9999),"OBEDECE",IF(AND(R303&gt;60,Q303&gt;=2000,Q303&lt;=4999),"OBEDECE",IF(AND(R303&gt;30,Q303&gt;=1000,Q303&lt;=1999),"OBEDECE",IF(AND(R303&lt;=29,Q303&lt;=1000),"OBEDECE","NÃO OBEDECE"))))))</f>
        <v>NÃO OBEDECE</v>
      </c>
      <c r="P303" s="3" t="s">
        <v>68</v>
      </c>
      <c r="Q303" s="4" t="n">
        <v>27427</v>
      </c>
      <c r="R303" s="4" t="n">
        <v>144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1</v>
      </c>
      <c r="Y303" s="14" t="n">
        <v>0</v>
      </c>
      <c r="Z303" s="14" t="n">
        <v>0</v>
      </c>
      <c r="AA303" s="14" t="n">
        <v>0</v>
      </c>
      <c r="AB303" s="14" t="n">
        <v>0</v>
      </c>
      <c r="AC303" s="14" t="n">
        <v>0</v>
      </c>
      <c r="AD303" s="14" t="n">
        <v>0</v>
      </c>
      <c r="AE303" s="14" t="n">
        <v>0</v>
      </c>
      <c r="AF303" s="14" t="n">
        <v>0</v>
      </c>
      <c r="AG303" s="14" t="n">
        <v>0</v>
      </c>
      <c r="AH303" s="14" t="n">
        <v>0</v>
      </c>
      <c r="AI303" s="14" t="n">
        <v>0</v>
      </c>
      <c r="AJ303" s="14" t="n">
        <v>0</v>
      </c>
      <c r="AK303" s="14" t="n">
        <v>0</v>
      </c>
      <c r="AL303" s="14" t="n">
        <v>0</v>
      </c>
      <c r="AM303" s="14" t="n">
        <v>0</v>
      </c>
    </row>
    <row r="304" customFormat="false" ht="15" hidden="false" customHeight="false" outlineLevel="0" collapsed="false">
      <c r="A304" s="11" t="s">
        <v>466</v>
      </c>
      <c r="B304" s="11" t="s">
        <v>54</v>
      </c>
      <c r="C304" s="11" t="s">
        <v>66</v>
      </c>
      <c r="D304" s="11" t="s">
        <v>55</v>
      </c>
      <c r="E304" s="11" t="s">
        <v>118</v>
      </c>
      <c r="F304" s="11" t="s">
        <v>57</v>
      </c>
      <c r="G304" s="12" t="s">
        <v>467</v>
      </c>
      <c r="H304" s="11" t="s">
        <v>171</v>
      </c>
      <c r="I304" s="11" t="s">
        <v>46</v>
      </c>
      <c r="J304" s="11" t="s">
        <v>47</v>
      </c>
      <c r="K304" s="11" t="s">
        <v>59</v>
      </c>
      <c r="L304" s="11" t="s">
        <v>49</v>
      </c>
      <c r="M304" s="11" t="s">
        <v>60</v>
      </c>
      <c r="N304" s="11" t="s">
        <v>51</v>
      </c>
      <c r="O304" s="13" t="str">
        <f aca="false">IF(AND(R304&gt;600,Q304&gt;20000),"OBEDECE",IF(AND(R304&gt;300,Q304&gt;=10000,Q304&lt;=20000),"OBEDECE",IF(AND(R304&gt;150,Q304&gt;=5000,Q304&lt;=9999),"OBEDECE",IF(AND(R304&gt;60,Q304&gt;=2000,Q304&lt;=4999),"OBEDECE",IF(AND(R304&gt;30,Q304&gt;=1000,Q304&lt;=1999),"OBEDECE",IF(AND(R304&lt;=29,Q304&lt;=1000),"OBEDECE","NÃO OBEDECE"))))))</f>
        <v>NÃO OBEDECE</v>
      </c>
      <c r="P304" s="3" t="s">
        <v>62</v>
      </c>
      <c r="Q304" s="4" t="n">
        <v>20253</v>
      </c>
      <c r="R304" s="4" t="n">
        <v>104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14" t="n">
        <v>0</v>
      </c>
      <c r="AB304" s="14" t="n">
        <v>0</v>
      </c>
      <c r="AC304" s="14" t="n">
        <v>0</v>
      </c>
      <c r="AD304" s="14" t="n">
        <v>0</v>
      </c>
      <c r="AE304" s="14" t="n">
        <v>0</v>
      </c>
      <c r="AF304" s="14" t="n">
        <v>0</v>
      </c>
      <c r="AG304" s="14" t="n">
        <v>0</v>
      </c>
      <c r="AH304" s="14" t="n">
        <v>0</v>
      </c>
      <c r="AI304" s="14" t="n">
        <v>0</v>
      </c>
      <c r="AJ304" s="14" t="n">
        <v>0</v>
      </c>
      <c r="AK304" s="14" t="n">
        <v>0</v>
      </c>
      <c r="AL304" s="14" t="n">
        <v>0</v>
      </c>
      <c r="AM304" s="14" t="n">
        <v>0</v>
      </c>
    </row>
    <row r="305" customFormat="false" ht="15" hidden="false" customHeight="false" outlineLevel="0" collapsed="false">
      <c r="A305" s="11" t="s">
        <v>468</v>
      </c>
      <c r="B305" s="11" t="s">
        <v>40</v>
      </c>
      <c r="C305" s="11" t="s">
        <v>41</v>
      </c>
      <c r="D305" s="11" t="s">
        <v>42</v>
      </c>
      <c r="E305" s="11" t="s">
        <v>118</v>
      </c>
      <c r="F305" s="11" t="s">
        <v>57</v>
      </c>
      <c r="G305" s="12" t="s">
        <v>83</v>
      </c>
      <c r="H305" s="11" t="s">
        <v>171</v>
      </c>
      <c r="I305" s="11" t="s">
        <v>46</v>
      </c>
      <c r="J305" s="11" t="s">
        <v>47</v>
      </c>
      <c r="K305" s="11" t="s">
        <v>59</v>
      </c>
      <c r="L305" s="11" t="s">
        <v>74</v>
      </c>
      <c r="M305" s="11" t="s">
        <v>60</v>
      </c>
      <c r="N305" s="11" t="s">
        <v>51</v>
      </c>
      <c r="O305" s="13" t="str">
        <f aca="false">IF(AND(R305&gt;600,Q305&gt;20000),"OBEDECE",IF(AND(R305&gt;300,Q305&gt;=10000,Q305&lt;=20000),"OBEDECE",IF(AND(R305&gt;150,Q305&gt;=5000,Q305&lt;=9999),"OBEDECE",IF(AND(R305&gt;60,Q305&gt;=2000,Q305&lt;=4999),"OBEDECE",IF(AND(R305&gt;30,Q305&gt;=1000,Q305&lt;=1999),"OBEDECE",IF(AND(R305&lt;=29,Q305&lt;=1000),"OBEDECE","NÃO OBEDECE"))))))</f>
        <v>NÃO OBEDECE</v>
      </c>
      <c r="P305" s="3" t="s">
        <v>68</v>
      </c>
      <c r="Q305" s="4" t="n">
        <v>37621</v>
      </c>
      <c r="R305" s="4" t="n">
        <v>148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2</v>
      </c>
      <c r="Y305" s="14" t="n">
        <v>0</v>
      </c>
      <c r="Z305" s="14" t="n">
        <v>0</v>
      </c>
      <c r="AA305" s="14" t="n">
        <v>0</v>
      </c>
      <c r="AB305" s="14" t="n">
        <v>1</v>
      </c>
      <c r="AC305" s="14" t="n">
        <v>0</v>
      </c>
      <c r="AD305" s="14" t="n">
        <v>0</v>
      </c>
      <c r="AE305" s="14" t="n">
        <v>0</v>
      </c>
      <c r="AF305" s="14" t="n">
        <v>0</v>
      </c>
      <c r="AG305" s="14" t="n">
        <v>0</v>
      </c>
      <c r="AH305" s="14" t="n">
        <v>0</v>
      </c>
      <c r="AI305" s="14" t="n">
        <v>0</v>
      </c>
      <c r="AJ305" s="14" t="n">
        <v>0</v>
      </c>
      <c r="AK305" s="14" t="n">
        <v>0</v>
      </c>
      <c r="AL305" s="14" t="n">
        <v>0</v>
      </c>
      <c r="AM305" s="14" t="n">
        <v>0</v>
      </c>
    </row>
    <row r="306" customFormat="false" ht="15" hidden="false" customHeight="false" outlineLevel="0" collapsed="false">
      <c r="A306" s="11" t="s">
        <v>469</v>
      </c>
      <c r="B306" s="11" t="s">
        <v>40</v>
      </c>
      <c r="C306" s="11" t="s">
        <v>41</v>
      </c>
      <c r="D306" s="11" t="s">
        <v>42</v>
      </c>
      <c r="E306" s="11" t="s">
        <v>118</v>
      </c>
      <c r="F306" s="11" t="s">
        <v>57</v>
      </c>
      <c r="G306" s="12" t="s">
        <v>81</v>
      </c>
      <c r="H306" s="11" t="s">
        <v>171</v>
      </c>
      <c r="I306" s="11" t="s">
        <v>46</v>
      </c>
      <c r="J306" s="11" t="s">
        <v>47</v>
      </c>
      <c r="K306" s="11" t="s">
        <v>59</v>
      </c>
      <c r="L306" s="11" t="s">
        <v>74</v>
      </c>
      <c r="M306" s="11" t="s">
        <v>50</v>
      </c>
      <c r="N306" s="11" t="s">
        <v>51</v>
      </c>
      <c r="O306" s="13" t="str">
        <f aca="false">IF(AND(R306&gt;600,Q306&gt;20000),"OBEDECE",IF(AND(R306&gt;300,Q306&gt;=10000,Q306&lt;=20000),"OBEDECE",IF(AND(R306&gt;150,Q306&gt;=5000,Q306&lt;=9999),"OBEDECE",IF(AND(R306&gt;60,Q306&gt;=2000,Q306&lt;=4999),"OBEDECE",IF(AND(R306&gt;30,Q306&gt;=1000,Q306&lt;=1999),"OBEDECE",IF(AND(R306&lt;=29,Q306&lt;=1000),"OBEDECE","NÃO OBEDECE"))))))</f>
        <v>NÃO OBEDECE</v>
      </c>
      <c r="P306" s="3" t="s">
        <v>52</v>
      </c>
      <c r="Q306" s="4" t="n">
        <v>48502</v>
      </c>
      <c r="R306" s="4" t="n">
        <v>225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6</v>
      </c>
      <c r="Y306" s="14" t="n">
        <v>1</v>
      </c>
      <c r="Z306" s="14" t="n">
        <v>0</v>
      </c>
      <c r="AA306" s="14" t="n">
        <v>0</v>
      </c>
      <c r="AB306" s="14" t="n">
        <v>0</v>
      </c>
      <c r="AC306" s="14" t="n">
        <v>0</v>
      </c>
      <c r="AD306" s="14" t="n">
        <v>0</v>
      </c>
      <c r="AE306" s="14" t="n">
        <v>0</v>
      </c>
      <c r="AF306" s="14" t="n">
        <v>2</v>
      </c>
      <c r="AG306" s="14" t="n">
        <v>0</v>
      </c>
      <c r="AH306" s="14" t="n">
        <v>0</v>
      </c>
      <c r="AI306" s="14" t="n">
        <v>2</v>
      </c>
      <c r="AJ306" s="14" t="n">
        <v>0</v>
      </c>
      <c r="AK306" s="14" t="n">
        <v>0</v>
      </c>
      <c r="AL306" s="14" t="n">
        <v>0</v>
      </c>
      <c r="AM306" s="14" t="n">
        <v>0</v>
      </c>
    </row>
    <row r="307" customFormat="false" ht="15" hidden="false" customHeight="false" outlineLevel="0" collapsed="false">
      <c r="A307" s="11" t="s">
        <v>470</v>
      </c>
      <c r="B307" s="11" t="s">
        <v>40</v>
      </c>
      <c r="C307" s="11" t="s">
        <v>66</v>
      </c>
      <c r="D307" s="11" t="s">
        <v>42</v>
      </c>
      <c r="E307" s="11" t="s">
        <v>118</v>
      </c>
      <c r="F307" s="11" t="s">
        <v>57</v>
      </c>
      <c r="G307" s="12" t="s">
        <v>137</v>
      </c>
      <c r="H307" s="11" t="s">
        <v>171</v>
      </c>
      <c r="I307" s="11" t="s">
        <v>46</v>
      </c>
      <c r="J307" s="11" t="s">
        <v>47</v>
      </c>
      <c r="K307" s="11" t="s">
        <v>59</v>
      </c>
      <c r="L307" s="11" t="s">
        <v>74</v>
      </c>
      <c r="M307" s="11" t="s">
        <v>60</v>
      </c>
      <c r="N307" s="11" t="s">
        <v>51</v>
      </c>
      <c r="O307" s="13" t="str">
        <f aca="false">IF(AND(R307&gt;600,Q307&gt;20000),"OBEDECE",IF(AND(R307&gt;300,Q307&gt;=10000,Q307&lt;=20000),"OBEDECE",IF(AND(R307&gt;150,Q307&gt;=5000,Q307&lt;=9999),"OBEDECE",IF(AND(R307&gt;60,Q307&gt;=2000,Q307&lt;=4999),"OBEDECE",IF(AND(R307&gt;30,Q307&gt;=1000,Q307&lt;=1999),"OBEDECE",IF(AND(R307&lt;=29,Q307&lt;=1000),"OBEDECE","NÃO OBEDECE"))))))</f>
        <v>NÃO OBEDECE</v>
      </c>
      <c r="P307" s="3" t="s">
        <v>62</v>
      </c>
      <c r="Q307" s="4" t="n">
        <v>35519</v>
      </c>
      <c r="R307" s="4" t="n">
        <v>203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14" t="n">
        <v>0</v>
      </c>
      <c r="AB307" s="14" t="n">
        <v>0</v>
      </c>
      <c r="AC307" s="14" t="n">
        <v>0</v>
      </c>
      <c r="AD307" s="14" t="n">
        <v>0</v>
      </c>
      <c r="AE307" s="14" t="n">
        <v>0</v>
      </c>
      <c r="AF307" s="14" t="n">
        <v>0</v>
      </c>
      <c r="AG307" s="14" t="n">
        <v>0</v>
      </c>
      <c r="AH307" s="14" t="n">
        <v>0</v>
      </c>
      <c r="AI307" s="14" t="n">
        <v>0</v>
      </c>
      <c r="AJ307" s="14" t="n">
        <v>0</v>
      </c>
      <c r="AK307" s="14" t="n">
        <v>0</v>
      </c>
      <c r="AL307" s="14" t="n">
        <v>0</v>
      </c>
      <c r="AM307" s="14" t="n">
        <v>0</v>
      </c>
    </row>
    <row r="308" customFormat="false" ht="15" hidden="false" customHeight="false" outlineLevel="0" collapsed="false">
      <c r="A308" s="11" t="s">
        <v>471</v>
      </c>
      <c r="B308" s="11" t="s">
        <v>40</v>
      </c>
      <c r="C308" s="11" t="s">
        <v>41</v>
      </c>
      <c r="D308" s="11" t="s">
        <v>42</v>
      </c>
      <c r="E308" s="11" t="s">
        <v>118</v>
      </c>
      <c r="F308" s="11" t="s">
        <v>57</v>
      </c>
      <c r="G308" s="12" t="s">
        <v>90</v>
      </c>
      <c r="H308" s="11" t="s">
        <v>171</v>
      </c>
      <c r="I308" s="11" t="s">
        <v>46</v>
      </c>
      <c r="J308" s="11" t="s">
        <v>47</v>
      </c>
      <c r="K308" s="11" t="s">
        <v>59</v>
      </c>
      <c r="L308" s="11" t="s">
        <v>74</v>
      </c>
      <c r="M308" s="11" t="s">
        <v>50</v>
      </c>
      <c r="N308" s="11" t="s">
        <v>51</v>
      </c>
      <c r="O308" s="13" t="str">
        <f aca="false">IF(AND(R308&gt;600,Q308&gt;20000),"OBEDECE",IF(AND(R308&gt;300,Q308&gt;=10000,Q308&lt;=20000),"OBEDECE",IF(AND(R308&gt;150,Q308&gt;=5000,Q308&lt;=9999),"OBEDECE",IF(AND(R308&gt;60,Q308&gt;=2000,Q308&lt;=4999),"OBEDECE",IF(AND(R308&gt;30,Q308&gt;=1000,Q308&lt;=1999),"OBEDECE",IF(AND(R308&lt;=29,Q308&lt;=1000),"OBEDECE","NÃO OBEDECE"))))))</f>
        <v>NÃO OBEDECE</v>
      </c>
      <c r="P308" s="3" t="s">
        <v>68</v>
      </c>
      <c r="Q308" s="4" t="n">
        <v>34019</v>
      </c>
      <c r="R308" s="4" t="n">
        <v>176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1</v>
      </c>
      <c r="Z308" s="14" t="n">
        <v>1</v>
      </c>
      <c r="AA308" s="14" t="n">
        <v>0</v>
      </c>
      <c r="AB308" s="14" t="n">
        <v>0</v>
      </c>
      <c r="AC308" s="14" t="n">
        <v>0</v>
      </c>
      <c r="AD308" s="14" t="n">
        <v>0</v>
      </c>
      <c r="AE308" s="14" t="n">
        <v>0</v>
      </c>
      <c r="AF308" s="14" t="n">
        <v>0</v>
      </c>
      <c r="AG308" s="14" t="n">
        <v>0</v>
      </c>
      <c r="AH308" s="14" t="n">
        <v>0</v>
      </c>
      <c r="AI308" s="14" t="n">
        <v>0</v>
      </c>
      <c r="AJ308" s="14" t="n">
        <v>0</v>
      </c>
      <c r="AK308" s="14" t="n">
        <v>0</v>
      </c>
      <c r="AL308" s="14" t="n">
        <v>0</v>
      </c>
      <c r="AM308" s="14" t="n">
        <v>0</v>
      </c>
    </row>
    <row r="309" customFormat="false" ht="15" hidden="false" customHeight="false" outlineLevel="0" collapsed="false">
      <c r="A309" s="11" t="s">
        <v>472</v>
      </c>
      <c r="B309" s="11" t="s">
        <v>54</v>
      </c>
      <c r="C309" s="11" t="s">
        <v>66</v>
      </c>
      <c r="D309" s="11" t="s">
        <v>55</v>
      </c>
      <c r="E309" s="11" t="s">
        <v>118</v>
      </c>
      <c r="F309" s="11" t="s">
        <v>57</v>
      </c>
      <c r="G309" s="12" t="s">
        <v>103</v>
      </c>
      <c r="H309" s="11" t="s">
        <v>171</v>
      </c>
      <c r="I309" s="11" t="s">
        <v>46</v>
      </c>
      <c r="J309" s="11" t="s">
        <v>47</v>
      </c>
      <c r="K309" s="11" t="s">
        <v>59</v>
      </c>
      <c r="L309" s="11" t="s">
        <v>74</v>
      </c>
      <c r="M309" s="11" t="s">
        <v>60</v>
      </c>
      <c r="N309" s="11" t="s">
        <v>51</v>
      </c>
      <c r="O309" s="13" t="str">
        <f aca="false">IF(AND(R309&gt;600,Q309&gt;20000),"OBEDECE",IF(AND(R309&gt;300,Q309&gt;=10000,Q309&lt;=20000),"OBEDECE",IF(AND(R309&gt;150,Q309&gt;=5000,Q309&lt;=9999),"OBEDECE",IF(AND(R309&gt;60,Q309&gt;=2000,Q309&lt;=4999),"OBEDECE",IF(AND(R309&gt;30,Q309&gt;=1000,Q309&lt;=1999),"OBEDECE",IF(AND(R309&lt;=29,Q309&lt;=1000),"OBEDECE","NÃO OBEDECE"))))))</f>
        <v>NÃO OBEDECE</v>
      </c>
      <c r="P309" s="3" t="s">
        <v>68</v>
      </c>
      <c r="Q309" s="4" t="n">
        <v>29800</v>
      </c>
      <c r="R309" s="4" t="n">
        <v>154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3</v>
      </c>
      <c r="Y309" s="14" t="n">
        <v>0</v>
      </c>
      <c r="Z309" s="14" t="n">
        <v>0</v>
      </c>
      <c r="AA309" s="14" t="n">
        <v>0</v>
      </c>
      <c r="AB309" s="14" t="n">
        <v>0</v>
      </c>
      <c r="AC309" s="14" t="n">
        <v>0</v>
      </c>
      <c r="AD309" s="14" t="n">
        <v>0</v>
      </c>
      <c r="AE309" s="14" t="n">
        <v>0</v>
      </c>
      <c r="AF309" s="14" t="n">
        <v>0</v>
      </c>
      <c r="AG309" s="14" t="n">
        <v>0</v>
      </c>
      <c r="AH309" s="14" t="n">
        <v>0</v>
      </c>
      <c r="AI309" s="14" t="n">
        <v>0</v>
      </c>
      <c r="AJ309" s="14" t="n">
        <v>0</v>
      </c>
      <c r="AK309" s="14" t="n">
        <v>0</v>
      </c>
      <c r="AL309" s="14" t="n">
        <v>0</v>
      </c>
      <c r="AM309" s="14" t="n">
        <v>0</v>
      </c>
    </row>
    <row r="310" customFormat="false" ht="15" hidden="false" customHeight="false" outlineLevel="0" collapsed="false">
      <c r="A310" s="11" t="s">
        <v>473</v>
      </c>
      <c r="B310" s="11" t="s">
        <v>40</v>
      </c>
      <c r="C310" s="11" t="s">
        <v>41</v>
      </c>
      <c r="D310" s="11" t="s">
        <v>42</v>
      </c>
      <c r="E310" s="11" t="s">
        <v>118</v>
      </c>
      <c r="F310" s="11" t="s">
        <v>57</v>
      </c>
      <c r="G310" s="12" t="s">
        <v>67</v>
      </c>
      <c r="H310" s="11" t="s">
        <v>171</v>
      </c>
      <c r="I310" s="11" t="s">
        <v>46</v>
      </c>
      <c r="J310" s="11" t="s">
        <v>47</v>
      </c>
      <c r="K310" s="11" t="s">
        <v>59</v>
      </c>
      <c r="L310" s="11" t="s">
        <v>74</v>
      </c>
      <c r="M310" s="11" t="s">
        <v>60</v>
      </c>
      <c r="N310" s="11" t="s">
        <v>51</v>
      </c>
      <c r="O310" s="13" t="str">
        <f aca="false">IF(AND(R310&gt;600,Q310&gt;20000),"OBEDECE",IF(AND(R310&gt;300,Q310&gt;=10000,Q310&lt;=20000),"OBEDECE",IF(AND(R310&gt;150,Q310&gt;=5000,Q310&lt;=9999),"OBEDECE",IF(AND(R310&gt;60,Q310&gt;=2000,Q310&lt;=4999),"OBEDECE",IF(AND(R310&gt;30,Q310&gt;=1000,Q310&lt;=1999),"OBEDECE",IF(AND(R310&lt;=29,Q310&lt;=1000),"OBEDECE","NÃO OBEDECE"))))))</f>
        <v>NÃO OBEDECE</v>
      </c>
      <c r="P310" s="3" t="s">
        <v>62</v>
      </c>
      <c r="Q310" s="4" t="n">
        <v>33662</v>
      </c>
      <c r="R310" s="4" t="n">
        <v>134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14" t="n">
        <v>0</v>
      </c>
      <c r="AB310" s="14" t="n">
        <v>0</v>
      </c>
      <c r="AC310" s="14" t="n">
        <v>0</v>
      </c>
      <c r="AD310" s="14" t="n">
        <v>0</v>
      </c>
      <c r="AE310" s="14" t="n">
        <v>0</v>
      </c>
      <c r="AF310" s="14" t="n">
        <v>0</v>
      </c>
      <c r="AG310" s="14" t="n">
        <v>0</v>
      </c>
      <c r="AH310" s="14" t="n">
        <v>0</v>
      </c>
      <c r="AI310" s="14" t="n">
        <v>0</v>
      </c>
      <c r="AJ310" s="14" t="n">
        <v>0</v>
      </c>
      <c r="AK310" s="14" t="n">
        <v>0</v>
      </c>
      <c r="AL310" s="14" t="n">
        <v>0</v>
      </c>
      <c r="AM310" s="14" t="n">
        <v>0</v>
      </c>
    </row>
    <row r="311" customFormat="false" ht="15" hidden="false" customHeight="false" outlineLevel="0" collapsed="false">
      <c r="A311" s="11" t="s">
        <v>474</v>
      </c>
      <c r="B311" s="11" t="s">
        <v>40</v>
      </c>
      <c r="C311" s="11" t="s">
        <v>41</v>
      </c>
      <c r="D311" s="11" t="s">
        <v>55</v>
      </c>
      <c r="E311" s="11" t="s">
        <v>118</v>
      </c>
      <c r="F311" s="11" t="s">
        <v>57</v>
      </c>
      <c r="G311" s="12" t="s">
        <v>67</v>
      </c>
      <c r="H311" s="11" t="s">
        <v>171</v>
      </c>
      <c r="I311" s="11" t="s">
        <v>46</v>
      </c>
      <c r="J311" s="11" t="s">
        <v>47</v>
      </c>
      <c r="K311" s="11" t="s">
        <v>59</v>
      </c>
      <c r="L311" s="11" t="s">
        <v>49</v>
      </c>
      <c r="M311" s="11" t="s">
        <v>60</v>
      </c>
      <c r="N311" s="11" t="s">
        <v>51</v>
      </c>
      <c r="O311" s="13" t="str">
        <f aca="false">IF(AND(R311&gt;600,Q311&gt;20000),"OBEDECE",IF(AND(R311&gt;300,Q311&gt;=10000,Q311&lt;=20000),"OBEDECE",IF(AND(R311&gt;150,Q311&gt;=5000,Q311&lt;=9999),"OBEDECE",IF(AND(R311&gt;60,Q311&gt;=2000,Q311&lt;=4999),"OBEDECE",IF(AND(R311&gt;30,Q311&gt;=1000,Q311&lt;=1999),"OBEDECE",IF(AND(R311&lt;=29,Q311&lt;=1000),"OBEDECE","NÃO OBEDECE"))))))</f>
        <v>NÃO OBEDECE</v>
      </c>
      <c r="P311" s="3" t="s">
        <v>68</v>
      </c>
      <c r="Q311" s="4" t="n">
        <v>37770</v>
      </c>
      <c r="R311" s="4" t="n">
        <v>154</v>
      </c>
      <c r="S311" s="14" t="n">
        <v>0</v>
      </c>
      <c r="T311" s="14" t="n">
        <v>0</v>
      </c>
      <c r="U311" s="14" t="n">
        <v>0</v>
      </c>
      <c r="V311" s="14" t="n">
        <v>0</v>
      </c>
      <c r="W311" s="14" t="n">
        <v>1</v>
      </c>
      <c r="X311" s="14" t="n">
        <v>1</v>
      </c>
      <c r="Y311" s="14" t="n">
        <v>0</v>
      </c>
      <c r="Z311" s="14" t="n">
        <v>0</v>
      </c>
      <c r="AA311" s="14" t="n">
        <v>0</v>
      </c>
      <c r="AB311" s="14" t="n">
        <v>0</v>
      </c>
      <c r="AC311" s="14" t="n">
        <v>1</v>
      </c>
      <c r="AD311" s="14" t="n">
        <v>0</v>
      </c>
      <c r="AE311" s="14" t="n">
        <v>0</v>
      </c>
      <c r="AF311" s="14" t="n">
        <v>0</v>
      </c>
      <c r="AG311" s="14" t="n">
        <v>0</v>
      </c>
      <c r="AH311" s="14" t="n">
        <v>0</v>
      </c>
      <c r="AI311" s="14" t="n">
        <v>0</v>
      </c>
      <c r="AJ311" s="14" t="n">
        <v>0</v>
      </c>
      <c r="AK311" s="14" t="n">
        <v>0</v>
      </c>
      <c r="AL311" s="14" t="n">
        <v>0</v>
      </c>
      <c r="AM311" s="14" t="n">
        <v>0</v>
      </c>
    </row>
    <row r="312" customFormat="false" ht="15" hidden="false" customHeight="false" outlineLevel="0" collapsed="false">
      <c r="A312" s="11" t="s">
        <v>475</v>
      </c>
      <c r="B312" s="11" t="s">
        <v>40</v>
      </c>
      <c r="C312" s="11" t="s">
        <v>66</v>
      </c>
      <c r="D312" s="11" t="s">
        <v>42</v>
      </c>
      <c r="E312" s="11" t="s">
        <v>118</v>
      </c>
      <c r="F312" s="11" t="s">
        <v>57</v>
      </c>
      <c r="G312" s="12" t="s">
        <v>85</v>
      </c>
      <c r="H312" s="11" t="s">
        <v>171</v>
      </c>
      <c r="I312" s="11" t="s">
        <v>46</v>
      </c>
      <c r="J312" s="11" t="s">
        <v>47</v>
      </c>
      <c r="K312" s="11" t="s">
        <v>59</v>
      </c>
      <c r="L312" s="11" t="s">
        <v>74</v>
      </c>
      <c r="M312" s="11" t="s">
        <v>50</v>
      </c>
      <c r="N312" s="11" t="s">
        <v>51</v>
      </c>
      <c r="O312" s="13" t="str">
        <f aca="false">IF(AND(R312&gt;600,Q312&gt;20000),"OBEDECE",IF(AND(R312&gt;300,Q312&gt;=10000,Q312&lt;=20000),"OBEDECE",IF(AND(R312&gt;150,Q312&gt;=5000,Q312&lt;=9999),"OBEDECE",IF(AND(R312&gt;60,Q312&gt;=2000,Q312&lt;=4999),"OBEDECE",IF(AND(R312&gt;30,Q312&gt;=1000,Q312&lt;=1999),"OBEDECE",IF(AND(R312&lt;=29,Q312&lt;=1000),"OBEDECE","NÃO OBEDECE"))))))</f>
        <v>NÃO OBEDECE</v>
      </c>
      <c r="P312" s="3" t="s">
        <v>52</v>
      </c>
      <c r="Q312" s="4" t="n">
        <v>43716</v>
      </c>
      <c r="R312" s="4" t="n">
        <v>189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14" t="n">
        <v>0</v>
      </c>
      <c r="AB312" s="14" t="n">
        <v>0</v>
      </c>
      <c r="AC312" s="14" t="n">
        <v>0</v>
      </c>
      <c r="AD312" s="14" t="n">
        <v>0</v>
      </c>
      <c r="AE312" s="14" t="n">
        <v>0</v>
      </c>
      <c r="AF312" s="14" t="n">
        <v>0</v>
      </c>
      <c r="AG312" s="14" t="n">
        <v>0</v>
      </c>
      <c r="AH312" s="14" t="n">
        <v>0</v>
      </c>
      <c r="AI312" s="14" t="n">
        <v>0</v>
      </c>
      <c r="AJ312" s="14" t="n">
        <v>0</v>
      </c>
      <c r="AK312" s="14" t="n">
        <v>1</v>
      </c>
      <c r="AL312" s="14" t="n">
        <v>0</v>
      </c>
      <c r="AM312" s="14" t="n">
        <v>1</v>
      </c>
    </row>
    <row r="313" customFormat="false" ht="15" hidden="false" customHeight="false" outlineLevel="0" collapsed="false">
      <c r="A313" s="11" t="s">
        <v>476</v>
      </c>
      <c r="B313" s="11" t="s">
        <v>40</v>
      </c>
      <c r="C313" s="11" t="s">
        <v>41</v>
      </c>
      <c r="D313" s="11" t="s">
        <v>42</v>
      </c>
      <c r="E313" s="11" t="s">
        <v>118</v>
      </c>
      <c r="F313" s="11" t="s">
        <v>57</v>
      </c>
      <c r="G313" s="15" t="s">
        <v>187</v>
      </c>
      <c r="H313" s="11" t="s">
        <v>171</v>
      </c>
      <c r="I313" s="11" t="s">
        <v>46</v>
      </c>
      <c r="J313" s="11" t="s">
        <v>47</v>
      </c>
      <c r="K313" s="11" t="s">
        <v>59</v>
      </c>
      <c r="L313" s="11" t="s">
        <v>77</v>
      </c>
      <c r="M313" s="11" t="s">
        <v>60</v>
      </c>
      <c r="N313" s="11" t="s">
        <v>51</v>
      </c>
      <c r="O313" s="13" t="str">
        <f aca="false">IF(AND(R313&gt;600,Q313&gt;20000),"OBEDECE",IF(AND(R313&gt;300,Q313&gt;=10000,Q313&lt;=20000),"OBEDECE",IF(AND(R313&gt;150,Q313&gt;=5000,Q313&lt;=9999),"OBEDECE",IF(AND(R313&gt;60,Q313&gt;=2000,Q313&lt;=4999),"OBEDECE",IF(AND(R313&gt;30,Q313&gt;=1000,Q313&lt;=1999),"OBEDECE",IF(AND(R313&lt;=29,Q313&lt;=1000),"OBEDECE","NÃO OBEDECE"))))))</f>
        <v>NÃO OBEDECE</v>
      </c>
      <c r="P313" s="3" t="s">
        <v>62</v>
      </c>
      <c r="Q313" s="4" t="n">
        <v>34313</v>
      </c>
      <c r="R313" s="4" t="n">
        <v>136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14" t="n">
        <v>0</v>
      </c>
      <c r="AB313" s="14" t="n">
        <v>0</v>
      </c>
      <c r="AC313" s="14" t="n">
        <v>0</v>
      </c>
      <c r="AD313" s="14" t="n">
        <v>0</v>
      </c>
      <c r="AE313" s="14" t="n">
        <v>0</v>
      </c>
      <c r="AF313" s="14" t="n">
        <v>0</v>
      </c>
      <c r="AG313" s="14" t="n">
        <v>0</v>
      </c>
      <c r="AH313" s="14" t="n">
        <v>0</v>
      </c>
      <c r="AI313" s="14" t="n">
        <v>0</v>
      </c>
      <c r="AJ313" s="14" t="n">
        <v>0</v>
      </c>
      <c r="AK313" s="14" t="n">
        <v>0</v>
      </c>
      <c r="AL313" s="14" t="n">
        <v>0</v>
      </c>
      <c r="AM313" s="14" t="n">
        <v>0</v>
      </c>
    </row>
    <row r="314" customFormat="false" ht="15" hidden="false" customHeight="false" outlineLevel="0" collapsed="false">
      <c r="A314" s="11" t="s">
        <v>477</v>
      </c>
      <c r="B314" s="11" t="s">
        <v>40</v>
      </c>
      <c r="C314" s="11" t="s">
        <v>66</v>
      </c>
      <c r="D314" s="11" t="s">
        <v>42</v>
      </c>
      <c r="E314" s="11" t="s">
        <v>118</v>
      </c>
      <c r="F314" s="11" t="s">
        <v>57</v>
      </c>
      <c r="G314" s="12" t="s">
        <v>257</v>
      </c>
      <c r="H314" s="11" t="s">
        <v>171</v>
      </c>
      <c r="I314" s="11" t="s">
        <v>46</v>
      </c>
      <c r="J314" s="11" t="s">
        <v>47</v>
      </c>
      <c r="K314" s="11" t="s">
        <v>59</v>
      </c>
      <c r="L314" s="11" t="s">
        <v>74</v>
      </c>
      <c r="M314" s="11" t="s">
        <v>60</v>
      </c>
      <c r="N314" s="11" t="s">
        <v>51</v>
      </c>
      <c r="O314" s="13" t="str">
        <f aca="false">IF(AND(R314&gt;600,Q314&gt;20000),"OBEDECE",IF(AND(R314&gt;300,Q314&gt;=10000,Q314&lt;=20000),"OBEDECE",IF(AND(R314&gt;150,Q314&gt;=5000,Q314&lt;=9999),"OBEDECE",IF(AND(R314&gt;60,Q314&gt;=2000,Q314&lt;=4999),"OBEDECE",IF(AND(R314&gt;30,Q314&gt;=1000,Q314&lt;=1999),"OBEDECE",IF(AND(R314&lt;=29,Q314&lt;=1000),"OBEDECE","NÃO OBEDECE"))))))</f>
        <v>NÃO OBEDECE</v>
      </c>
      <c r="P314" s="3" t="s">
        <v>62</v>
      </c>
      <c r="Q314" s="4" t="n">
        <v>38451</v>
      </c>
      <c r="R314" s="4" t="n">
        <v>132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14" t="n">
        <v>0</v>
      </c>
      <c r="AB314" s="14" t="n">
        <v>0</v>
      </c>
      <c r="AC314" s="14" t="n">
        <v>0</v>
      </c>
      <c r="AD314" s="14" t="n">
        <v>0</v>
      </c>
      <c r="AE314" s="14" t="n">
        <v>0</v>
      </c>
      <c r="AF314" s="14" t="n">
        <v>0</v>
      </c>
      <c r="AG314" s="14" t="n">
        <v>0</v>
      </c>
      <c r="AH314" s="14" t="n">
        <v>0</v>
      </c>
      <c r="AI314" s="14" t="n">
        <v>0</v>
      </c>
      <c r="AJ314" s="14" t="n">
        <v>0</v>
      </c>
      <c r="AK314" s="14" t="n">
        <v>0</v>
      </c>
      <c r="AL314" s="14" t="n">
        <v>0</v>
      </c>
      <c r="AM314" s="14" t="n">
        <v>0</v>
      </c>
    </row>
    <row r="315" customFormat="false" ht="15" hidden="false" customHeight="false" outlineLevel="0" collapsed="false">
      <c r="A315" s="11" t="s">
        <v>478</v>
      </c>
      <c r="B315" s="11" t="s">
        <v>40</v>
      </c>
      <c r="C315" s="11" t="s">
        <v>41</v>
      </c>
      <c r="D315" s="11" t="s">
        <v>42</v>
      </c>
      <c r="E315" s="11" t="s">
        <v>118</v>
      </c>
      <c r="F315" s="11" t="s">
        <v>57</v>
      </c>
      <c r="G315" s="12" t="s">
        <v>73</v>
      </c>
      <c r="H315" s="11" t="s">
        <v>171</v>
      </c>
      <c r="I315" s="11" t="s">
        <v>46</v>
      </c>
      <c r="J315" s="11" t="s">
        <v>47</v>
      </c>
      <c r="K315" s="11" t="s">
        <v>59</v>
      </c>
      <c r="L315" s="11" t="s">
        <v>74</v>
      </c>
      <c r="M315" s="11" t="s">
        <v>60</v>
      </c>
      <c r="N315" s="11" t="s">
        <v>51</v>
      </c>
      <c r="O315" s="13" t="str">
        <f aca="false">IF(AND(R315&gt;600,Q315&gt;20000),"OBEDECE",IF(AND(R315&gt;300,Q315&gt;=10000,Q315&lt;=20000),"OBEDECE",IF(AND(R315&gt;150,Q315&gt;=5000,Q315&lt;=9999),"OBEDECE",IF(AND(R315&gt;60,Q315&gt;=2000,Q315&lt;=4999),"OBEDECE",IF(AND(R315&gt;30,Q315&gt;=1000,Q315&lt;=1999),"OBEDECE",IF(AND(R315&lt;=29,Q315&lt;=1000),"OBEDECE","NÃO OBEDECE"))))))</f>
        <v>NÃO OBEDECE</v>
      </c>
      <c r="P315" s="3" t="s">
        <v>62</v>
      </c>
      <c r="Q315" s="4" t="n">
        <v>46111</v>
      </c>
      <c r="R315" s="4" t="n">
        <v>146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n">
        <v>0</v>
      </c>
      <c r="AB315" s="14" t="n">
        <v>0</v>
      </c>
      <c r="AC315" s="14" t="n">
        <v>0</v>
      </c>
      <c r="AD315" s="14" t="n">
        <v>0</v>
      </c>
      <c r="AE315" s="14" t="n">
        <v>0</v>
      </c>
      <c r="AF315" s="14" t="n">
        <v>0</v>
      </c>
      <c r="AG315" s="14" t="n">
        <v>0</v>
      </c>
      <c r="AH315" s="14" t="n">
        <v>0</v>
      </c>
      <c r="AI315" s="14" t="n">
        <v>0</v>
      </c>
      <c r="AJ315" s="14" t="n">
        <v>0</v>
      </c>
      <c r="AK315" s="14" t="n">
        <v>0</v>
      </c>
      <c r="AL315" s="14" t="n">
        <v>0</v>
      </c>
      <c r="AM315" s="14" t="n">
        <v>0</v>
      </c>
    </row>
    <row r="316" customFormat="false" ht="15" hidden="false" customHeight="false" outlineLevel="0" collapsed="false">
      <c r="A316" s="11" t="s">
        <v>479</v>
      </c>
      <c r="B316" s="11" t="s">
        <v>54</v>
      </c>
      <c r="C316" s="11" t="s">
        <v>66</v>
      </c>
      <c r="D316" s="11" t="s">
        <v>55</v>
      </c>
      <c r="E316" s="11" t="s">
        <v>118</v>
      </c>
      <c r="F316" s="11" t="s">
        <v>57</v>
      </c>
      <c r="G316" s="12" t="s">
        <v>70</v>
      </c>
      <c r="H316" s="11" t="s">
        <v>171</v>
      </c>
      <c r="I316" s="11" t="s">
        <v>46</v>
      </c>
      <c r="J316" s="11" t="s">
        <v>47</v>
      </c>
      <c r="K316" s="11" t="s">
        <v>59</v>
      </c>
      <c r="L316" s="11" t="s">
        <v>74</v>
      </c>
      <c r="M316" s="11" t="s">
        <v>60</v>
      </c>
      <c r="N316" s="11" t="s">
        <v>51</v>
      </c>
      <c r="O316" s="13" t="str">
        <f aca="false">IF(AND(R316&gt;600,Q316&gt;20000),"OBEDECE",IF(AND(R316&gt;300,Q316&gt;=10000,Q316&lt;=20000),"OBEDECE",IF(AND(R316&gt;150,Q316&gt;=5000,Q316&lt;=9999),"OBEDECE",IF(AND(R316&gt;60,Q316&gt;=2000,Q316&lt;=4999),"OBEDECE",IF(AND(R316&gt;30,Q316&gt;=1000,Q316&lt;=1999),"OBEDECE",IF(AND(R316&lt;=29,Q316&lt;=1000),"OBEDECE","NÃO OBEDECE"))))))</f>
        <v>NÃO OBEDECE</v>
      </c>
      <c r="P316" s="3" t="s">
        <v>62</v>
      </c>
      <c r="Q316" s="4" t="n">
        <v>41431</v>
      </c>
      <c r="R316" s="4" t="n">
        <v>155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14" t="n">
        <v>0</v>
      </c>
      <c r="AB316" s="14" t="n">
        <v>0</v>
      </c>
      <c r="AC316" s="14" t="n">
        <v>0</v>
      </c>
      <c r="AD316" s="14" t="n">
        <v>0</v>
      </c>
      <c r="AE316" s="14" t="n">
        <v>0</v>
      </c>
      <c r="AF316" s="14" t="n">
        <v>0</v>
      </c>
      <c r="AG316" s="14" t="n">
        <v>0</v>
      </c>
      <c r="AH316" s="14" t="n">
        <v>0</v>
      </c>
      <c r="AI316" s="14" t="n">
        <v>0</v>
      </c>
      <c r="AJ316" s="14" t="n">
        <v>0</v>
      </c>
      <c r="AK316" s="14" t="n">
        <v>0</v>
      </c>
      <c r="AL316" s="14" t="n">
        <v>0</v>
      </c>
      <c r="AM316" s="14" t="n">
        <v>0</v>
      </c>
    </row>
    <row r="317" customFormat="false" ht="15" hidden="false" customHeight="false" outlineLevel="0" collapsed="false">
      <c r="A317" s="11" t="s">
        <v>480</v>
      </c>
      <c r="B317" s="11" t="s">
        <v>54</v>
      </c>
      <c r="C317" s="11" t="s">
        <v>66</v>
      </c>
      <c r="D317" s="11" t="s">
        <v>55</v>
      </c>
      <c r="E317" s="11" t="s">
        <v>118</v>
      </c>
      <c r="F317" s="11" t="s">
        <v>57</v>
      </c>
      <c r="G317" s="12" t="s">
        <v>79</v>
      </c>
      <c r="H317" s="11" t="s">
        <v>171</v>
      </c>
      <c r="I317" s="11" t="s">
        <v>46</v>
      </c>
      <c r="J317" s="11" t="s">
        <v>47</v>
      </c>
      <c r="K317" s="11" t="s">
        <v>59</v>
      </c>
      <c r="L317" s="11" t="s">
        <v>74</v>
      </c>
      <c r="M317" s="11" t="s">
        <v>50</v>
      </c>
      <c r="N317" s="11" t="s">
        <v>51</v>
      </c>
      <c r="O317" s="13" t="str">
        <f aca="false">IF(AND(R317&gt;600,Q317&gt;20000),"OBEDECE",IF(AND(R317&gt;300,Q317&gt;=10000,Q317&lt;=20000),"OBEDECE",IF(AND(R317&gt;150,Q317&gt;=5000,Q317&lt;=9999),"OBEDECE",IF(AND(R317&gt;60,Q317&gt;=2000,Q317&lt;=4999),"OBEDECE",IF(AND(R317&gt;30,Q317&gt;=1000,Q317&lt;=1999),"OBEDECE",IF(AND(R317&lt;=29,Q317&lt;=1000),"OBEDECE","NÃO OBEDECE"))))))</f>
        <v>NÃO OBEDECE</v>
      </c>
      <c r="P317" s="3" t="s">
        <v>62</v>
      </c>
      <c r="Q317" s="4" t="n">
        <v>30960</v>
      </c>
      <c r="R317" s="4" t="n">
        <v>127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14" t="n">
        <v>0</v>
      </c>
      <c r="AB317" s="14" t="n">
        <v>0</v>
      </c>
      <c r="AC317" s="14" t="n">
        <v>0</v>
      </c>
      <c r="AD317" s="14" t="n">
        <v>0</v>
      </c>
      <c r="AE317" s="14" t="n">
        <v>0</v>
      </c>
      <c r="AF317" s="14" t="n">
        <v>0</v>
      </c>
      <c r="AG317" s="14" t="n">
        <v>0</v>
      </c>
      <c r="AH317" s="14" t="n">
        <v>0</v>
      </c>
      <c r="AI317" s="14" t="n">
        <v>0</v>
      </c>
      <c r="AJ317" s="14" t="n">
        <v>0</v>
      </c>
      <c r="AK317" s="14" t="n">
        <v>0</v>
      </c>
      <c r="AL317" s="14" t="n">
        <v>0</v>
      </c>
      <c r="AM317" s="14" t="n">
        <v>0</v>
      </c>
    </row>
    <row r="318" customFormat="false" ht="15" hidden="false" customHeight="false" outlineLevel="0" collapsed="false">
      <c r="A318" s="11" t="s">
        <v>481</v>
      </c>
      <c r="B318" s="11" t="s">
        <v>40</v>
      </c>
      <c r="C318" s="11" t="s">
        <v>66</v>
      </c>
      <c r="D318" s="11" t="s">
        <v>42</v>
      </c>
      <c r="E318" s="11" t="s">
        <v>118</v>
      </c>
      <c r="F318" s="11" t="s">
        <v>57</v>
      </c>
      <c r="G318" s="12" t="s">
        <v>276</v>
      </c>
      <c r="H318" s="11" t="s">
        <v>171</v>
      </c>
      <c r="I318" s="11" t="s">
        <v>46</v>
      </c>
      <c r="J318" s="11" t="s">
        <v>47</v>
      </c>
      <c r="K318" s="11" t="s">
        <v>59</v>
      </c>
      <c r="L318" s="11" t="s">
        <v>74</v>
      </c>
      <c r="M318" s="11" t="s">
        <v>60</v>
      </c>
      <c r="N318" s="11" t="s">
        <v>51</v>
      </c>
      <c r="O318" s="13" t="str">
        <f aca="false">IF(AND(R318&gt;600,Q318&gt;20000),"OBEDECE",IF(AND(R318&gt;300,Q318&gt;=10000,Q318&lt;=20000),"OBEDECE",IF(AND(R318&gt;150,Q318&gt;=5000,Q318&lt;=9999),"OBEDECE",IF(AND(R318&gt;60,Q318&gt;=2000,Q318&lt;=4999),"OBEDECE",IF(AND(R318&gt;30,Q318&gt;=1000,Q318&lt;=1999),"OBEDECE",IF(AND(R318&lt;=29,Q318&lt;=1000),"OBEDECE","NÃO OBEDECE"))))))</f>
        <v>NÃO OBEDECE</v>
      </c>
      <c r="P318" s="3" t="s">
        <v>62</v>
      </c>
      <c r="Q318" s="4" t="n">
        <v>43991</v>
      </c>
      <c r="R318" s="4" t="n">
        <v>127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14" t="n">
        <v>0</v>
      </c>
      <c r="AB318" s="14" t="n">
        <v>0</v>
      </c>
      <c r="AC318" s="14" t="n">
        <v>0</v>
      </c>
      <c r="AD318" s="14" t="n">
        <v>0</v>
      </c>
      <c r="AE318" s="14" t="n">
        <v>0</v>
      </c>
      <c r="AF318" s="14" t="n">
        <v>0</v>
      </c>
      <c r="AG318" s="14" t="n">
        <v>0</v>
      </c>
      <c r="AH318" s="14" t="n">
        <v>0</v>
      </c>
      <c r="AI318" s="14" t="n">
        <v>0</v>
      </c>
      <c r="AJ318" s="14" t="n">
        <v>0</v>
      </c>
      <c r="AK318" s="14" t="n">
        <v>0</v>
      </c>
      <c r="AL318" s="14" t="n">
        <v>0</v>
      </c>
      <c r="AM318" s="14" t="n">
        <v>0</v>
      </c>
    </row>
    <row r="319" customFormat="false" ht="15" hidden="false" customHeight="false" outlineLevel="0" collapsed="false">
      <c r="A319" s="11" t="s">
        <v>482</v>
      </c>
      <c r="B319" s="11" t="s">
        <v>54</v>
      </c>
      <c r="C319" s="11" t="s">
        <v>66</v>
      </c>
      <c r="D319" s="11" t="s">
        <v>55</v>
      </c>
      <c r="E319" s="11" t="s">
        <v>118</v>
      </c>
      <c r="F319" s="11" t="s">
        <v>57</v>
      </c>
      <c r="G319" s="12" t="s">
        <v>282</v>
      </c>
      <c r="H319" s="11" t="s">
        <v>171</v>
      </c>
      <c r="I319" s="11" t="s">
        <v>46</v>
      </c>
      <c r="J319" s="11" t="s">
        <v>47</v>
      </c>
      <c r="K319" s="11" t="s">
        <v>59</v>
      </c>
      <c r="L319" s="11" t="s">
        <v>74</v>
      </c>
      <c r="M319" s="11" t="s">
        <v>50</v>
      </c>
      <c r="N319" s="11" t="s">
        <v>51</v>
      </c>
      <c r="O319" s="13" t="str">
        <f aca="false">IF(AND(R319&gt;600,Q319&gt;20000),"OBEDECE",IF(AND(R319&gt;300,Q319&gt;=10000,Q319&lt;=20000),"OBEDECE",IF(AND(R319&gt;150,Q319&gt;=5000,Q319&lt;=9999),"OBEDECE",IF(AND(R319&gt;60,Q319&gt;=2000,Q319&lt;=4999),"OBEDECE",IF(AND(R319&gt;30,Q319&gt;=1000,Q319&lt;=1999),"OBEDECE",IF(AND(R319&lt;=29,Q319&lt;=1000),"OBEDECE","NÃO OBEDECE"))))))</f>
        <v>NÃO OBEDECE</v>
      </c>
      <c r="P319" s="3" t="s">
        <v>52</v>
      </c>
      <c r="Q319" s="4" t="n">
        <v>33936</v>
      </c>
      <c r="R319" s="4" t="n">
        <v>127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14" t="n">
        <v>0</v>
      </c>
      <c r="AB319" s="14" t="n">
        <v>0</v>
      </c>
      <c r="AC319" s="14" t="n">
        <v>0</v>
      </c>
      <c r="AD319" s="14" t="n">
        <v>0</v>
      </c>
      <c r="AE319" s="14" t="n">
        <v>0</v>
      </c>
      <c r="AF319" s="14" t="n">
        <v>0</v>
      </c>
      <c r="AG319" s="14" t="n">
        <v>0</v>
      </c>
      <c r="AH319" s="14" t="n">
        <v>0</v>
      </c>
      <c r="AI319" s="14" t="n">
        <v>0</v>
      </c>
      <c r="AJ319" s="14" t="n">
        <v>0</v>
      </c>
      <c r="AK319" s="14" t="n">
        <v>1</v>
      </c>
      <c r="AL319" s="14" t="n">
        <v>0</v>
      </c>
      <c r="AM319" s="14" t="n">
        <v>0</v>
      </c>
    </row>
    <row r="320" customFormat="false" ht="15" hidden="false" customHeight="false" outlineLevel="0" collapsed="false">
      <c r="A320" s="11" t="s">
        <v>483</v>
      </c>
      <c r="B320" s="11" t="s">
        <v>54</v>
      </c>
      <c r="C320" s="11" t="s">
        <v>41</v>
      </c>
      <c r="D320" s="11" t="s">
        <v>55</v>
      </c>
      <c r="E320" s="11" t="s">
        <v>118</v>
      </c>
      <c r="F320" s="11" t="s">
        <v>57</v>
      </c>
      <c r="G320" s="12" t="s">
        <v>410</v>
      </c>
      <c r="H320" s="11" t="s">
        <v>171</v>
      </c>
      <c r="I320" s="11" t="s">
        <v>46</v>
      </c>
      <c r="J320" s="11" t="s">
        <v>47</v>
      </c>
      <c r="K320" s="11" t="s">
        <v>59</v>
      </c>
      <c r="L320" s="11" t="s">
        <v>77</v>
      </c>
      <c r="M320" s="11" t="s">
        <v>60</v>
      </c>
      <c r="N320" s="11" t="s">
        <v>51</v>
      </c>
      <c r="O320" s="13" t="str">
        <f aca="false">IF(AND(R320&gt;600,Q320&gt;20000),"OBEDECE",IF(AND(R320&gt;300,Q320&gt;=10000,Q320&lt;=20000),"OBEDECE",IF(AND(R320&gt;150,Q320&gt;=5000,Q320&lt;=9999),"OBEDECE",IF(AND(R320&gt;60,Q320&gt;=2000,Q320&lt;=4999),"OBEDECE",IF(AND(R320&gt;30,Q320&gt;=1000,Q320&lt;=1999),"OBEDECE",IF(AND(R320&lt;=29,Q320&lt;=1000),"OBEDECE","NÃO OBEDECE"))))))</f>
        <v>NÃO OBEDECE</v>
      </c>
      <c r="P320" s="3" t="s">
        <v>62</v>
      </c>
      <c r="Q320" s="4" t="n">
        <v>33266</v>
      </c>
      <c r="R320" s="4" t="n">
        <v>122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14" t="n">
        <v>0</v>
      </c>
      <c r="AB320" s="14" t="n">
        <v>0</v>
      </c>
      <c r="AC320" s="14" t="n">
        <v>0</v>
      </c>
      <c r="AD320" s="14" t="n">
        <v>0</v>
      </c>
      <c r="AE320" s="14" t="n">
        <v>0</v>
      </c>
      <c r="AF320" s="14" t="n">
        <v>0</v>
      </c>
      <c r="AG320" s="14" t="n">
        <v>0</v>
      </c>
      <c r="AH320" s="14" t="n">
        <v>0</v>
      </c>
      <c r="AI320" s="14" t="n">
        <v>0</v>
      </c>
      <c r="AJ320" s="14" t="n">
        <v>0</v>
      </c>
      <c r="AK320" s="14" t="n">
        <v>0</v>
      </c>
      <c r="AL320" s="14" t="n">
        <v>0</v>
      </c>
      <c r="AM320" s="14" t="n">
        <v>0</v>
      </c>
    </row>
    <row r="321" customFormat="false" ht="15" hidden="false" customHeight="false" outlineLevel="0" collapsed="false">
      <c r="A321" s="11" t="s">
        <v>484</v>
      </c>
      <c r="B321" s="11" t="s">
        <v>40</v>
      </c>
      <c r="C321" s="11" t="s">
        <v>41</v>
      </c>
      <c r="D321" s="11" t="s">
        <v>42</v>
      </c>
      <c r="E321" s="11" t="s">
        <v>118</v>
      </c>
      <c r="F321" s="11" t="s">
        <v>57</v>
      </c>
      <c r="G321" s="15" t="s">
        <v>155</v>
      </c>
      <c r="H321" s="11" t="s">
        <v>171</v>
      </c>
      <c r="I321" s="11" t="s">
        <v>46</v>
      </c>
      <c r="J321" s="11" t="s">
        <v>47</v>
      </c>
      <c r="K321" s="11" t="s">
        <v>59</v>
      </c>
      <c r="L321" s="11" t="s">
        <v>77</v>
      </c>
      <c r="M321" s="11" t="s">
        <v>50</v>
      </c>
      <c r="N321" s="11" t="s">
        <v>51</v>
      </c>
      <c r="O321" s="13" t="str">
        <f aca="false">IF(AND(R321&gt;600,Q321&gt;20000),"OBEDECE",IF(AND(R321&gt;300,Q321&gt;=10000,Q321&lt;=20000),"OBEDECE",IF(AND(R321&gt;150,Q321&gt;=5000,Q321&lt;=9999),"OBEDECE",IF(AND(R321&gt;60,Q321&gt;=2000,Q321&lt;=4999),"OBEDECE",IF(AND(R321&gt;30,Q321&gt;=1000,Q321&lt;=1999),"OBEDECE",IF(AND(R321&lt;=29,Q321&lt;=1000),"OBEDECE","NÃO OBEDECE"))))))</f>
        <v>NÃO OBEDECE</v>
      </c>
      <c r="P321" s="3" t="s">
        <v>68</v>
      </c>
      <c r="Q321" s="4" t="n">
        <v>33214</v>
      </c>
      <c r="R321" s="4" t="n">
        <v>122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14" t="n">
        <v>0</v>
      </c>
      <c r="AB321" s="14" t="n">
        <v>0</v>
      </c>
      <c r="AC321" s="14" t="n">
        <v>1</v>
      </c>
      <c r="AD321" s="14" t="n">
        <v>0</v>
      </c>
      <c r="AE321" s="14" t="n">
        <v>0</v>
      </c>
      <c r="AF321" s="14" t="n">
        <v>0</v>
      </c>
      <c r="AG321" s="14" t="n">
        <v>0</v>
      </c>
      <c r="AH321" s="14" t="n">
        <v>0</v>
      </c>
      <c r="AI321" s="14" t="n">
        <v>0</v>
      </c>
      <c r="AJ321" s="14" t="n">
        <v>0</v>
      </c>
      <c r="AK321" s="14" t="n">
        <v>0</v>
      </c>
      <c r="AL321" s="14" t="n">
        <v>0</v>
      </c>
      <c r="AM321" s="14" t="n">
        <v>0</v>
      </c>
    </row>
    <row r="322" customFormat="false" ht="15" hidden="false" customHeight="false" outlineLevel="0" collapsed="false">
      <c r="A322" s="11" t="s">
        <v>485</v>
      </c>
      <c r="B322" s="11" t="s">
        <v>54</v>
      </c>
      <c r="C322" s="11" t="s">
        <v>66</v>
      </c>
      <c r="D322" s="11" t="s">
        <v>42</v>
      </c>
      <c r="E322" s="11" t="s">
        <v>118</v>
      </c>
      <c r="F322" s="11" t="s">
        <v>57</v>
      </c>
      <c r="G322" s="12" t="s">
        <v>87</v>
      </c>
      <c r="H322" s="11" t="s">
        <v>171</v>
      </c>
      <c r="I322" s="11" t="s">
        <v>46</v>
      </c>
      <c r="J322" s="11" t="s">
        <v>47</v>
      </c>
      <c r="K322" s="11" t="s">
        <v>59</v>
      </c>
      <c r="L322" s="11" t="s">
        <v>77</v>
      </c>
      <c r="M322" s="11" t="s">
        <v>50</v>
      </c>
      <c r="N322" s="11" t="s">
        <v>51</v>
      </c>
      <c r="O322" s="13" t="str">
        <f aca="false">IF(AND(R322&gt;600,Q322&gt;20000),"OBEDECE",IF(AND(R322&gt;300,Q322&gt;=10000,Q322&lt;=20000),"OBEDECE",IF(AND(R322&gt;150,Q322&gt;=5000,Q322&lt;=9999),"OBEDECE",IF(AND(R322&gt;60,Q322&gt;=2000,Q322&lt;=4999),"OBEDECE",IF(AND(R322&gt;30,Q322&gt;=1000,Q322&lt;=1999),"OBEDECE",IF(AND(R322&lt;=29,Q322&lt;=1000),"OBEDECE","NÃO OBEDECE"))))))</f>
        <v>NÃO OBEDECE</v>
      </c>
      <c r="P322" s="3" t="s">
        <v>62</v>
      </c>
      <c r="Q322" s="4" t="n">
        <v>45756</v>
      </c>
      <c r="R322" s="4" t="n">
        <v>122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14" t="n">
        <v>0</v>
      </c>
      <c r="AB322" s="14" t="n">
        <v>0</v>
      </c>
      <c r="AC322" s="14" t="n">
        <v>0</v>
      </c>
      <c r="AD322" s="14" t="n">
        <v>0</v>
      </c>
      <c r="AE322" s="14" t="n">
        <v>0</v>
      </c>
      <c r="AF322" s="14" t="n">
        <v>0</v>
      </c>
      <c r="AG322" s="14" t="n">
        <v>0</v>
      </c>
      <c r="AH322" s="14" t="n">
        <v>0</v>
      </c>
      <c r="AI322" s="14" t="n">
        <v>0</v>
      </c>
      <c r="AJ322" s="14" t="n">
        <v>0</v>
      </c>
      <c r="AK322" s="14" t="n">
        <v>0</v>
      </c>
      <c r="AL322" s="14" t="n">
        <v>0</v>
      </c>
      <c r="AM322" s="14" t="n">
        <v>0</v>
      </c>
    </row>
    <row r="323" customFormat="false" ht="15" hidden="false" customHeight="false" outlineLevel="0" collapsed="false">
      <c r="A323" s="11" t="s">
        <v>486</v>
      </c>
      <c r="B323" s="11" t="s">
        <v>54</v>
      </c>
      <c r="C323" s="11" t="s">
        <v>41</v>
      </c>
      <c r="D323" s="11" t="s">
        <v>55</v>
      </c>
      <c r="E323" s="11" t="s">
        <v>118</v>
      </c>
      <c r="F323" s="11" t="s">
        <v>57</v>
      </c>
      <c r="G323" s="15" t="s">
        <v>95</v>
      </c>
      <c r="H323" s="11" t="s">
        <v>171</v>
      </c>
      <c r="I323" s="11" t="s">
        <v>46</v>
      </c>
      <c r="J323" s="11" t="s">
        <v>47</v>
      </c>
      <c r="K323" s="11" t="s">
        <v>59</v>
      </c>
      <c r="L323" s="11" t="s">
        <v>77</v>
      </c>
      <c r="M323" s="11" t="s">
        <v>60</v>
      </c>
      <c r="N323" s="11" t="s">
        <v>51</v>
      </c>
      <c r="O323" s="13" t="str">
        <f aca="false">IF(AND(R323&gt;600,Q323&gt;20000),"OBEDECE",IF(AND(R323&gt;300,Q323&gt;=10000,Q323&lt;=20000),"OBEDECE",IF(AND(R323&gt;150,Q323&gt;=5000,Q323&lt;=9999),"OBEDECE",IF(AND(R323&gt;60,Q323&gt;=2000,Q323&lt;=4999),"OBEDECE",IF(AND(R323&gt;30,Q323&gt;=1000,Q323&lt;=1999),"OBEDECE",IF(AND(R323&lt;=29,Q323&lt;=1000),"OBEDECE","NÃO OBEDECE"))))))</f>
        <v>NÃO OBEDECE</v>
      </c>
      <c r="P323" s="3" t="s">
        <v>52</v>
      </c>
      <c r="Q323" s="4" t="n">
        <v>27743</v>
      </c>
      <c r="R323" s="4" t="n">
        <v>242</v>
      </c>
      <c r="S323" s="14" t="n">
        <v>0</v>
      </c>
      <c r="T323" s="14" t="n">
        <v>0</v>
      </c>
      <c r="U323" s="14" t="n">
        <v>0</v>
      </c>
      <c r="V323" s="14" t="n">
        <v>1</v>
      </c>
      <c r="W323" s="14" t="n">
        <v>0</v>
      </c>
      <c r="X323" s="14" t="n">
        <v>0</v>
      </c>
      <c r="Y323" s="14" t="n">
        <v>1</v>
      </c>
      <c r="Z323" s="14" t="n">
        <v>0</v>
      </c>
      <c r="AA323" s="14" t="n">
        <v>0</v>
      </c>
      <c r="AB323" s="14" t="n">
        <v>0</v>
      </c>
      <c r="AC323" s="14" t="n">
        <v>0</v>
      </c>
      <c r="AD323" s="14" t="n">
        <v>0</v>
      </c>
      <c r="AE323" s="14" t="n">
        <v>0</v>
      </c>
      <c r="AF323" s="14" t="n">
        <v>1</v>
      </c>
      <c r="AG323" s="14" t="n">
        <v>0</v>
      </c>
      <c r="AH323" s="14" t="n">
        <v>0</v>
      </c>
      <c r="AI323" s="14" t="n">
        <v>0</v>
      </c>
      <c r="AJ323" s="14" t="n">
        <v>0</v>
      </c>
      <c r="AK323" s="14" t="n">
        <v>0</v>
      </c>
      <c r="AL323" s="14" t="n">
        <v>1</v>
      </c>
      <c r="AM323" s="14" t="n">
        <v>0</v>
      </c>
    </row>
    <row r="324" customFormat="false" ht="13" hidden="false" customHeight="false" outlineLevel="0" collapsed="false">
      <c r="A324" s="22" t="n">
        <v>45371</v>
      </c>
      <c r="B324" s="23" t="s">
        <v>54</v>
      </c>
      <c r="C324" s="23" t="s">
        <v>66</v>
      </c>
      <c r="D324" s="11" t="s">
        <v>55</v>
      </c>
      <c r="E324" s="24" t="s">
        <v>118</v>
      </c>
      <c r="F324" s="24" t="s">
        <v>57</v>
      </c>
      <c r="G324" s="15" t="s">
        <v>64</v>
      </c>
      <c r="H324" s="24" t="s">
        <v>171</v>
      </c>
      <c r="I324" s="24" t="s">
        <v>46</v>
      </c>
      <c r="J324" s="24" t="s">
        <v>171</v>
      </c>
      <c r="K324" s="11" t="s">
        <v>48</v>
      </c>
      <c r="L324" s="11" t="s">
        <v>135</v>
      </c>
      <c r="M324" s="11" t="s">
        <v>60</v>
      </c>
      <c r="N324" s="23" t="s">
        <v>51</v>
      </c>
      <c r="O324" s="25" t="str">
        <f aca="false">IF(AND(R324&gt;600,Q324&gt;20000),"OBEDECE",IF(AND(R324&gt;300,Q324&gt;=10000,Q324&lt;=20000),"OBEDECE",IF(AND(R324&gt;150,Q324&gt;=5000,Q324&lt;=9999),"OBEDECE",IF(AND(R324&gt;60,Q324&gt;=2000,Q324&lt;=4999),"OBEDECE",IF(AND(R324&gt;30,Q324&gt;=1000,Q324&lt;=1999),"OBEDECE",IF(AND(R324&lt;=29,Q324&lt;=1000),"OBEDECE","NÃO OBEDECE"))))))</f>
        <v>NÃO OBEDECE</v>
      </c>
      <c r="P324" s="24" t="s">
        <v>52</v>
      </c>
      <c r="Q324" s="26" t="n">
        <v>48150</v>
      </c>
      <c r="R324" s="27" t="n">
        <v>349</v>
      </c>
      <c r="S324" s="27" t="n">
        <v>0</v>
      </c>
      <c r="T324" s="27" t="n">
        <v>0</v>
      </c>
      <c r="U324" s="27" t="n">
        <v>0</v>
      </c>
      <c r="V324" s="27" t="n">
        <v>0</v>
      </c>
      <c r="W324" s="27" t="n">
        <v>0</v>
      </c>
      <c r="X324" s="27" t="n">
        <v>0</v>
      </c>
      <c r="Y324" s="27" t="n">
        <v>0</v>
      </c>
      <c r="Z324" s="27" t="n">
        <v>0</v>
      </c>
      <c r="AA324" s="27" t="n">
        <v>0</v>
      </c>
      <c r="AB324" s="27" t="n">
        <v>0</v>
      </c>
      <c r="AC324" s="27" t="n">
        <v>0</v>
      </c>
      <c r="AD324" s="27" t="n">
        <v>0</v>
      </c>
      <c r="AE324" s="27" t="n">
        <v>0</v>
      </c>
      <c r="AF324" s="27" t="n">
        <v>0</v>
      </c>
      <c r="AG324" s="27" t="n">
        <v>0</v>
      </c>
      <c r="AH324" s="27" t="n">
        <v>0</v>
      </c>
      <c r="AI324" s="27" t="n">
        <v>0</v>
      </c>
      <c r="AJ324" s="27" t="n">
        <v>0</v>
      </c>
      <c r="AK324" s="27" t="n">
        <v>1</v>
      </c>
      <c r="AL324" s="27" t="n">
        <v>0</v>
      </c>
      <c r="AM324" s="27" t="n">
        <v>1</v>
      </c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  <c r="GS324" s="24"/>
      <c r="GT324" s="24"/>
      <c r="GU324" s="24"/>
      <c r="GV324" s="24"/>
      <c r="GW324" s="24"/>
      <c r="GX324" s="24"/>
      <c r="GY324" s="24"/>
      <c r="GZ324" s="24"/>
      <c r="HA324" s="24"/>
      <c r="HB324" s="24"/>
      <c r="HC324" s="24"/>
      <c r="HD324" s="24"/>
      <c r="HE324" s="24"/>
      <c r="HF324" s="24"/>
      <c r="HG324" s="24"/>
      <c r="HH324" s="24"/>
      <c r="HI324" s="24"/>
      <c r="HJ324" s="24"/>
      <c r="HK324" s="24"/>
      <c r="HL324" s="24"/>
      <c r="HM324" s="24"/>
      <c r="HN324" s="24"/>
      <c r="HO324" s="24"/>
      <c r="HP324" s="24"/>
      <c r="HQ324" s="24"/>
      <c r="HR324" s="24"/>
      <c r="HS324" s="24"/>
      <c r="HT324" s="24"/>
      <c r="HU324" s="24"/>
      <c r="HV324" s="24"/>
      <c r="HW324" s="24"/>
      <c r="HX324" s="24"/>
      <c r="HY324" s="24"/>
      <c r="HZ324" s="24"/>
      <c r="IA324" s="24"/>
      <c r="IB324" s="24"/>
      <c r="IC324" s="24"/>
      <c r="ID324" s="24"/>
      <c r="IE324" s="24"/>
      <c r="IF324" s="24"/>
      <c r="IG324" s="24"/>
      <c r="IH324" s="24"/>
      <c r="II324" s="24"/>
      <c r="IJ324" s="24"/>
      <c r="IK324" s="24"/>
      <c r="IL324" s="24"/>
      <c r="IM324" s="24"/>
      <c r="IN324" s="24"/>
      <c r="IO324" s="24"/>
      <c r="IP324" s="24"/>
      <c r="IQ324" s="24"/>
      <c r="IR324" s="24"/>
      <c r="IS324" s="24"/>
      <c r="IT324" s="24"/>
      <c r="IU324" s="24"/>
      <c r="IV324" s="24"/>
      <c r="IW324" s="24"/>
    </row>
    <row r="325" customFormat="false" ht="13" hidden="false" customHeight="false" outlineLevel="0" collapsed="false">
      <c r="A325" s="22" t="n">
        <v>45389</v>
      </c>
      <c r="B325" s="23" t="s">
        <v>40</v>
      </c>
      <c r="C325" s="23" t="s">
        <v>41</v>
      </c>
      <c r="D325" s="11" t="s">
        <v>42</v>
      </c>
      <c r="E325" s="28" t="s">
        <v>118</v>
      </c>
      <c r="F325" s="28" t="s">
        <v>57</v>
      </c>
      <c r="G325" s="15" t="s">
        <v>64</v>
      </c>
      <c r="H325" s="28" t="s">
        <v>171</v>
      </c>
      <c r="I325" s="29" t="s">
        <v>46</v>
      </c>
      <c r="J325" s="24" t="s">
        <v>171</v>
      </c>
      <c r="K325" s="11" t="s">
        <v>48</v>
      </c>
      <c r="L325" s="11" t="s">
        <v>49</v>
      </c>
      <c r="M325" s="11" t="s">
        <v>60</v>
      </c>
      <c r="N325" s="25" t="s">
        <v>51</v>
      </c>
      <c r="O325" s="25" t="str">
        <f aca="false">IF(AND(R325&gt;600,Q325&gt;20000),"OBEDECE",IF(AND(R325&gt;300,Q325&gt;=10000,Q325&lt;=20000),"OBEDECE",IF(AND(R325&gt;150,Q325&gt;=5000,Q325&lt;=9999),"OBEDECE",IF(AND(R325&gt;60,Q325&gt;=2000,Q325&lt;=4999),"OBEDECE",IF(AND(R325&gt;30,Q325&gt;=1000,Q325&lt;=1999),"OBEDECE",IF(AND(R325&lt;=29,Q325&lt;=1000),"OBEDECE","NÃO OBEDECE"))))))</f>
        <v>NÃO OBEDECE</v>
      </c>
      <c r="P325" s="30" t="s">
        <v>62</v>
      </c>
      <c r="Q325" s="31" t="n">
        <v>47634</v>
      </c>
      <c r="R325" s="32" t="n">
        <v>349</v>
      </c>
      <c r="S325" s="32" t="n">
        <v>0</v>
      </c>
      <c r="T325" s="32" t="n">
        <v>0</v>
      </c>
      <c r="U325" s="32" t="n">
        <v>0</v>
      </c>
      <c r="V325" s="32" t="n">
        <v>0</v>
      </c>
      <c r="W325" s="32" t="n">
        <v>0</v>
      </c>
      <c r="X325" s="32" t="n">
        <v>0</v>
      </c>
      <c r="Y325" s="32" t="n">
        <v>0</v>
      </c>
      <c r="Z325" s="32" t="n">
        <v>0</v>
      </c>
      <c r="AA325" s="32" t="n">
        <v>0</v>
      </c>
      <c r="AB325" s="32" t="n">
        <v>0</v>
      </c>
      <c r="AC325" s="32" t="n">
        <v>0</v>
      </c>
      <c r="AD325" s="32" t="n">
        <v>0</v>
      </c>
      <c r="AE325" s="32" t="n">
        <v>0</v>
      </c>
      <c r="AF325" s="32" t="n">
        <v>0</v>
      </c>
      <c r="AG325" s="32" t="n">
        <v>0</v>
      </c>
      <c r="AH325" s="32" t="n">
        <v>0</v>
      </c>
      <c r="AI325" s="32" t="n">
        <v>0</v>
      </c>
      <c r="AJ325" s="32" t="n">
        <v>0</v>
      </c>
      <c r="AK325" s="32" t="n">
        <v>0</v>
      </c>
      <c r="AL325" s="32" t="n">
        <v>0</v>
      </c>
      <c r="AM325" s="32" t="n">
        <v>0</v>
      </c>
      <c r="AN325" s="30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  <c r="GC325" s="33"/>
      <c r="GD325" s="33"/>
      <c r="GE325" s="33"/>
      <c r="GF325" s="33"/>
      <c r="GG325" s="33"/>
      <c r="GH325" s="33"/>
      <c r="GI325" s="33"/>
      <c r="GJ325" s="33"/>
      <c r="GK325" s="33"/>
      <c r="GL325" s="33"/>
      <c r="GM325" s="33"/>
      <c r="GN325" s="33"/>
      <c r="GO325" s="33"/>
      <c r="GP325" s="33"/>
      <c r="GQ325" s="33"/>
      <c r="GR325" s="33"/>
      <c r="GS325" s="33"/>
      <c r="GT325" s="33"/>
      <c r="GU325" s="33"/>
      <c r="GV325" s="33"/>
      <c r="GW325" s="33"/>
      <c r="GX325" s="33"/>
      <c r="GY325" s="33"/>
      <c r="GZ325" s="33"/>
      <c r="HA325" s="33"/>
      <c r="HB325" s="33"/>
      <c r="HC325" s="33"/>
      <c r="HD325" s="33"/>
      <c r="HE325" s="33"/>
      <c r="HF325" s="33"/>
      <c r="HG325" s="33"/>
      <c r="HH325" s="33"/>
      <c r="HI325" s="33"/>
      <c r="HJ325" s="33"/>
      <c r="HK325" s="33"/>
      <c r="HL325" s="33"/>
      <c r="HM325" s="33"/>
      <c r="HN325" s="33"/>
      <c r="HO325" s="33"/>
      <c r="HP325" s="33"/>
      <c r="HQ325" s="33"/>
      <c r="HR325" s="33"/>
      <c r="HS325" s="33"/>
      <c r="HT325" s="33"/>
      <c r="HU325" s="33"/>
      <c r="HV325" s="33"/>
      <c r="HW325" s="33"/>
      <c r="HX325" s="33"/>
      <c r="HY325" s="33"/>
      <c r="HZ325" s="33"/>
      <c r="IA325" s="33"/>
      <c r="IB325" s="33"/>
      <c r="IC325" s="33"/>
      <c r="ID325" s="33"/>
      <c r="IE325" s="33"/>
      <c r="IF325" s="33"/>
      <c r="IG325" s="33"/>
      <c r="IH325" s="33"/>
      <c r="II325" s="33"/>
      <c r="IJ325" s="33"/>
      <c r="IK325" s="33"/>
      <c r="IL325" s="33"/>
      <c r="IM325" s="33"/>
      <c r="IN325" s="33"/>
      <c r="IO325" s="33"/>
      <c r="IP325" s="33"/>
      <c r="IQ325" s="33"/>
      <c r="IR325" s="33"/>
      <c r="IS325" s="33"/>
      <c r="IT325" s="33"/>
      <c r="IU325" s="33"/>
      <c r="IV325" s="33"/>
      <c r="IW325" s="33"/>
    </row>
    <row r="326" customFormat="false" ht="16" hidden="false" customHeight="false" outlineLevel="0" collapsed="false">
      <c r="A326" s="34"/>
      <c r="C326" s="35"/>
    </row>
  </sheetData>
  <autoFilter ref="A1:AN325"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2025-04-02T20:46:58Z</dcterms:created>
  <dc:creator>manoela aelo</dc:creator>
  <dc:description/>
  <dc:language>es-CL</dc:language>
  <cp:lastModifiedBy>Marcus Mascarenhas</cp:lastModifiedBy>
  <dcterms:modified xsi:type="dcterms:W3CDTF">2026-07-23T12:34:42Z</dcterms:modified>
  <cp:revision>0</cp:revision>
  <dc:subject/>
  <dc:title/>
</cp:coreProperties>
</file>